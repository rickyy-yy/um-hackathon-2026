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Overview" sheetId="1" state="visible" r:id="rId1"/>
    <sheet name="Square — Transactions CSV" sheetId="2" state="visible" r:id="rId2"/>
    <sheet name="Square — Items CSV" sheetId="3" state="visible" r:id="rId3"/>
    <sheet name="Square — Summary CSV" sheetId="4" state="visible" r:id="rId4"/>
    <sheet name="Loyverse — Receipts" sheetId="5" state="visible" r:id="rId5"/>
    <sheet name="Loyverse — Receipts by Item" sheetId="6" state="visible" r:id="rId6"/>
    <sheet name="Loyverse — Sales Summary" sheetId="7" state="visible" r:id="rId7"/>
    <sheet name="StoreHub — Best Sellers" sheetId="8" state="visible" r:id="rId8"/>
    <sheet name="StoreHub — Daily Sales" sheetId="9" state="visible" r:id="rId9"/>
    <sheet name="Comparison" sheetId="10" state="visible" r:id="rId10"/>
    <sheet name="Sources &amp; Verification"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quot;RM&quot;#,##0.00;[RED]&quot;(RM&quot;#,##0.00\);\-"/>
    <numFmt numFmtId="165" formatCode="#,##0;[RED]\(#,##0\);\-"/>
    <numFmt numFmtId="166" formatCode="0.0%;[RED]\(0.0%\);\-"/>
    <numFmt numFmtId="167" formatCode="0.0%"/>
  </numFmts>
  <fonts count="19">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i val="1"/>
      <color rgb="FF595959"/>
      <sz val="10"/>
    </font>
    <font>
      <name val="Arial"/>
      <charset val="1"/>
      <family val="0"/>
      <b val="1"/>
      <color rgb="FF1F4E78"/>
      <sz val="12"/>
    </font>
    <font>
      <name val="Arial"/>
      <charset val="1"/>
      <family val="0"/>
      <b val="1"/>
      <color rgb="FFFFFFFF"/>
      <sz val="11"/>
    </font>
    <font>
      <name val="Arial"/>
      <charset val="1"/>
      <family val="0"/>
      <sz val="10"/>
    </font>
    <font>
      <name val="Arial"/>
      <charset val="1"/>
      <family val="0"/>
      <b val="1"/>
      <sz val="11"/>
    </font>
    <font>
      <name val="Arial"/>
      <charset val="1"/>
      <family val="0"/>
      <b val="1"/>
      <color rgb="FF1F6E43"/>
      <sz val="10"/>
    </font>
    <font>
      <name val="Arial"/>
      <charset val="1"/>
      <family val="0"/>
      <b val="1"/>
      <color rgb="FFB45F06"/>
      <sz val="10"/>
    </font>
    <font>
      <name val="Arial"/>
      <charset val="1"/>
      <family val="0"/>
      <b val="1"/>
      <color rgb="FFB45F06"/>
      <sz val="11"/>
    </font>
    <font>
      <name val="Arial"/>
      <charset val="1"/>
      <family val="0"/>
      <b val="1"/>
      <sz val="10"/>
    </font>
    <font>
      <name val="Arial"/>
      <charset val="1"/>
      <family val="0"/>
      <b val="1"/>
      <color rgb="FFFFFFFF"/>
      <sz val="10"/>
    </font>
    <font>
      <b val="1"/>
      <sz val="13"/>
    </font>
    <font>
      <i val="1"/>
      <color rgb="00666666"/>
    </font>
    <font>
      <i val="1"/>
      <color rgb="008B4513"/>
    </font>
    <font>
      <b val="1"/>
      <color rgb="00FFFFFF"/>
    </font>
  </fonts>
  <fills count="13">
    <fill>
      <patternFill/>
    </fill>
    <fill>
      <patternFill patternType="gray125"/>
    </fill>
    <fill>
      <patternFill patternType="solid">
        <fgColor rgb="FF1F6E43"/>
        <bgColor rgb="FF008080"/>
      </patternFill>
    </fill>
    <fill>
      <patternFill patternType="solid">
        <fgColor rgb="FFB45F06"/>
        <bgColor rgb="FF808000"/>
      </patternFill>
    </fill>
    <fill>
      <patternFill patternType="solid">
        <fgColor rgb="FFFFF2CC"/>
        <bgColor rgb="FFF2F2F2"/>
      </patternFill>
    </fill>
    <fill>
      <patternFill patternType="solid">
        <fgColor rgb="FFF2F2F2"/>
        <bgColor rgb="FFFFFFFF"/>
      </patternFill>
    </fill>
    <fill>
      <patternFill patternType="solid">
        <fgColor rgb="FF1F4E78"/>
        <bgColor rgb="FF003366"/>
      </patternFill>
    </fill>
    <fill>
      <patternFill patternType="solid">
        <fgColor rgb="FF5B9BD5"/>
        <bgColor rgb="FF969696"/>
      </patternFill>
    </fill>
    <fill>
      <patternFill patternType="solid">
        <fgColor rgb="FF7F7F7F"/>
        <bgColor rgb="FF969696"/>
      </patternFill>
    </fill>
    <fill>
      <patternFill patternType="solid">
        <fgColor rgb="00FFF3CD"/>
      </patternFill>
    </fill>
    <fill>
      <patternFill patternType="solid">
        <fgColor rgb="00E65100"/>
      </patternFill>
    </fill>
    <fill>
      <patternFill patternType="solid">
        <fgColor rgb="00FFFFFF"/>
      </patternFill>
    </fill>
    <fill>
      <patternFill patternType="solid">
        <fgColor rgb="00F9F9F9"/>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DDDDDD"/>
      </left>
      <right style="thin">
        <color rgb="00DDDDDD"/>
      </right>
      <top style="thin">
        <color rgb="00DDDDDD"/>
      </top>
      <bottom style="thin">
        <color rgb="00DDDDDD"/>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center" vertical="bottom"/>
    </xf>
    <xf numFmtId="0" fontId="8" fillId="0" borderId="0" applyAlignment="1" pivotButton="0" quotePrefix="0" xfId="0">
      <alignment horizontal="general" vertical="bottom"/>
    </xf>
    <xf numFmtId="0" fontId="7" fillId="3" borderId="0" applyAlignment="1" pivotButton="0" quotePrefix="0" xfId="0">
      <alignment horizontal="center" vertical="bottom"/>
    </xf>
    <xf numFmtId="0" fontId="8" fillId="0" borderId="0" applyAlignment="1" pivotButton="0" quotePrefix="0" xfId="0">
      <alignment horizontal="general" vertical="center"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0" borderId="1" applyAlignment="1" pivotButton="0" quotePrefix="0" xfId="0">
      <alignment horizontal="general" vertical="bottom"/>
    </xf>
    <xf numFmtId="164" fontId="8" fillId="0" borderId="1" applyAlignment="1" pivotButton="0" quotePrefix="0" xfId="0">
      <alignment horizontal="general" vertical="bottom"/>
    </xf>
    <xf numFmtId="0" fontId="9" fillId="4" borderId="1" applyAlignment="1" pivotButton="0" quotePrefix="0" xfId="0">
      <alignment horizontal="general" vertical="bottom"/>
    </xf>
    <xf numFmtId="164" fontId="9" fillId="4" borderId="1" applyAlignment="1" pivotButton="0" quotePrefix="0" xfId="0">
      <alignment horizontal="general" vertical="bottom"/>
    </xf>
    <xf numFmtId="165" fontId="8" fillId="0" borderId="1" applyAlignment="1" pivotButton="0" quotePrefix="0" xfId="0">
      <alignment horizontal="general" vertical="bottom"/>
    </xf>
    <xf numFmtId="165" fontId="9" fillId="4" borderId="1" applyAlignment="1" pivotButton="0" quotePrefix="0" xfId="0">
      <alignment horizontal="general" vertical="bottom"/>
    </xf>
    <xf numFmtId="0" fontId="11" fillId="0" borderId="0" applyAlignment="1" pivotButton="0" quotePrefix="0" xfId="0">
      <alignment horizontal="general" vertical="bottom"/>
    </xf>
    <xf numFmtId="0" fontId="7" fillId="3" borderId="1" applyAlignment="1" pivotButton="0" quotePrefix="0" xfId="0">
      <alignment horizontal="center" vertical="center" wrapText="1"/>
    </xf>
    <xf numFmtId="0" fontId="12" fillId="0" borderId="0" applyAlignment="1" pivotButton="0" quotePrefix="0" xfId="0">
      <alignment horizontal="general" vertical="bottom"/>
    </xf>
    <xf numFmtId="166" fontId="8" fillId="0" borderId="1" applyAlignment="1" pivotButton="0" quotePrefix="0" xfId="0">
      <alignment horizontal="general" vertical="bottom"/>
    </xf>
    <xf numFmtId="167" fontId="9" fillId="4" borderId="1" applyAlignment="1" pivotButton="0" quotePrefix="0" xfId="0">
      <alignment horizontal="general" vertical="bottom"/>
    </xf>
    <xf numFmtId="0" fontId="13"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13" fillId="5" borderId="1" applyAlignment="1" pivotButton="0" quotePrefix="0" xfId="0">
      <alignment horizontal="general" vertical="center" wrapText="1"/>
    </xf>
    <xf numFmtId="0" fontId="8" fillId="5" borderId="1" applyAlignment="1" pivotButton="0" quotePrefix="0" xfId="0">
      <alignment horizontal="general" vertical="center" wrapText="1"/>
    </xf>
    <xf numFmtId="0" fontId="13" fillId="0" borderId="1" applyAlignment="1" pivotButton="0" quotePrefix="0" xfId="0">
      <alignment horizontal="general" vertical="bottom"/>
    </xf>
    <xf numFmtId="0" fontId="14" fillId="2" borderId="1" applyAlignment="1" pivotButton="0" quotePrefix="0" xfId="0">
      <alignment horizontal="center" vertical="center"/>
    </xf>
    <xf numFmtId="0" fontId="14" fillId="6" borderId="1" applyAlignment="1" pivotButton="0" quotePrefix="0" xfId="0">
      <alignment horizontal="center" vertical="center"/>
    </xf>
    <xf numFmtId="0" fontId="14" fillId="3" borderId="1" applyAlignment="1" pivotButton="0" quotePrefix="0" xfId="0">
      <alignment horizontal="center" vertical="center"/>
    </xf>
    <xf numFmtId="0" fontId="14" fillId="7" borderId="1" applyAlignment="1" pivotButton="0" quotePrefix="0" xfId="0">
      <alignment horizontal="center" vertical="center"/>
    </xf>
    <xf numFmtId="0" fontId="14" fillId="8"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center" vertical="bottom"/>
    </xf>
    <xf numFmtId="0" fontId="8" fillId="0" borderId="0" applyAlignment="1" pivotButton="0" quotePrefix="0" xfId="0">
      <alignment horizontal="general" vertical="bottom"/>
    </xf>
    <xf numFmtId="0" fontId="7" fillId="3" borderId="0" applyAlignment="1" pivotButton="0" quotePrefix="0" xfId="0">
      <alignment horizontal="center" vertical="bottom"/>
    </xf>
    <xf numFmtId="0" fontId="8" fillId="0" borderId="0" applyAlignment="1" pivotButton="0" quotePrefix="0" xfId="0">
      <alignment horizontal="general" vertical="center"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0" borderId="1" applyAlignment="1" pivotButton="0" quotePrefix="0" xfId="0">
      <alignment horizontal="general" vertical="bottom"/>
    </xf>
    <xf numFmtId="164" fontId="8" fillId="0" borderId="1" applyAlignment="1" pivotButton="0" quotePrefix="0" xfId="0">
      <alignment horizontal="general" vertical="bottom"/>
    </xf>
    <xf numFmtId="0" fontId="9" fillId="4" borderId="1" applyAlignment="1" pivotButton="0" quotePrefix="0" xfId="0">
      <alignment horizontal="general" vertical="bottom"/>
    </xf>
    <xf numFmtId="164" fontId="9" fillId="4" borderId="1" applyAlignment="1" pivotButton="0" quotePrefix="0" xfId="0">
      <alignment horizontal="general" vertical="bottom"/>
    </xf>
    <xf numFmtId="165" fontId="8" fillId="0" borderId="1" applyAlignment="1" pivotButton="0" quotePrefix="0" xfId="0">
      <alignment horizontal="general" vertical="bottom"/>
    </xf>
    <xf numFmtId="165" fontId="9" fillId="4" borderId="1" applyAlignment="1" pivotButton="0" quotePrefix="0" xfId="0">
      <alignment horizontal="general" vertical="bottom"/>
    </xf>
    <xf numFmtId="0" fontId="11" fillId="0" borderId="0" applyAlignment="1" pivotButton="0" quotePrefix="0" xfId="0">
      <alignment horizontal="general" vertical="bottom"/>
    </xf>
    <xf numFmtId="0" fontId="7" fillId="3" borderId="1" applyAlignment="1" pivotButton="0" quotePrefix="0" xfId="0">
      <alignment horizontal="center" vertical="center" wrapText="1"/>
    </xf>
    <xf numFmtId="0" fontId="12" fillId="0" borderId="0" applyAlignment="1" pivotButton="0" quotePrefix="0" xfId="0">
      <alignment horizontal="general" vertical="bottom"/>
    </xf>
    <xf numFmtId="166" fontId="8" fillId="0" borderId="1" applyAlignment="1" pivotButton="0" quotePrefix="0" xfId="0">
      <alignment horizontal="general" vertical="bottom"/>
    </xf>
    <xf numFmtId="167" fontId="9" fillId="4" borderId="1" applyAlignment="1" pivotButton="0" quotePrefix="0" xfId="0">
      <alignment horizontal="general" vertical="bottom"/>
    </xf>
    <xf numFmtId="0" fontId="15" fillId="0" borderId="0" pivotButton="0" quotePrefix="0" xfId="0"/>
    <xf numFmtId="0" fontId="16" fillId="0" borderId="0" pivotButton="0" quotePrefix="0" xfId="0"/>
    <xf numFmtId="0" fontId="17" fillId="9" borderId="0" applyAlignment="1" pivotButton="0" quotePrefix="0" xfId="0">
      <alignment wrapText="1"/>
    </xf>
    <xf numFmtId="0" fontId="18" fillId="10" borderId="2" applyAlignment="1" pivotButton="0" quotePrefix="0" xfId="0">
      <alignment horizontal="center"/>
    </xf>
    <xf numFmtId="0" fontId="0" fillId="11" borderId="2" pivotButton="0" quotePrefix="0" xfId="0"/>
    <xf numFmtId="0" fontId="0" fillId="12" borderId="2" pivotButton="0" quotePrefix="0" xfId="0"/>
    <xf numFmtId="0" fontId="13" fillId="0" borderId="1" applyAlignment="1" pivotButton="0" quotePrefix="0" xfId="0">
      <alignment horizontal="general" vertical="center" wrapText="1"/>
    </xf>
    <xf numFmtId="0" fontId="8" fillId="0" borderId="1" applyAlignment="1" pivotButton="0" quotePrefix="0" xfId="0">
      <alignment horizontal="general" vertical="center" wrapText="1"/>
    </xf>
    <xf numFmtId="0" fontId="13" fillId="5" borderId="1" applyAlignment="1" pivotButton="0" quotePrefix="0" xfId="0">
      <alignment horizontal="general" vertical="center" wrapText="1"/>
    </xf>
    <xf numFmtId="0" fontId="8" fillId="5" borderId="1" applyAlignment="1" pivotButton="0" quotePrefix="0" xfId="0">
      <alignment horizontal="general" vertical="center" wrapText="1"/>
    </xf>
    <xf numFmtId="0" fontId="13" fillId="0" borderId="1" applyAlignment="1" pivotButton="0" quotePrefix="0" xfId="0">
      <alignment horizontal="general" vertical="bottom"/>
    </xf>
    <xf numFmtId="0" fontId="14" fillId="2" borderId="1" applyAlignment="1" pivotButton="0" quotePrefix="0" xfId="0">
      <alignment horizontal="center" vertical="center"/>
    </xf>
    <xf numFmtId="0" fontId="14" fillId="6" borderId="1" applyAlignment="1" pivotButton="0" quotePrefix="0" xfId="0">
      <alignment horizontal="center" vertical="center"/>
    </xf>
    <xf numFmtId="0" fontId="14" fillId="3" borderId="1" applyAlignment="1" pivotButton="0" quotePrefix="0" xfId="0">
      <alignment horizontal="center" vertical="center"/>
    </xf>
    <xf numFmtId="0" fontId="14" fillId="7" borderId="1" applyAlignment="1" pivotButton="0" quotePrefix="0" xfId="0">
      <alignment horizontal="center" vertical="center"/>
    </xf>
    <xf numFmtId="0" fontId="14" fillId="8"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E43"/>
      <rgbColor rgb="FFBFBFBF"/>
      <rgbColor rgb="FF7F7F7F"/>
      <rgbColor rgb="FF5B9BD5"/>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95" customWidth="1" style="32" min="2" max="2"/>
  </cols>
  <sheetData>
    <row r="1" ht="17.35" customHeight="1" s="33">
      <c r="A1" s="34" t="inlineStr">
        <is>
          <t>POS Sales Data Templates — StoreHub, Loyverse, Square</t>
        </is>
      </c>
    </row>
    <row r="2" ht="15" customHeight="1" s="33">
      <c r="A2" s="35" t="inlineStr">
        <is>
          <t>A reference workbook showing how each POS system records and exports sales data.</t>
        </is>
      </c>
    </row>
    <row r="4" ht="15" customHeight="1" s="33">
      <c r="A4" s="36" t="inlineStr">
        <is>
          <t>Verification key</t>
        </is>
      </c>
    </row>
    <row r="5" ht="15" customHeight="1" s="33">
      <c r="A5" s="37" t="inlineStr">
        <is>
          <t>GREEN header</t>
        </is>
      </c>
      <c r="B5" s="38" t="inlineStr">
        <is>
          <t>Column names verified against actual CSV exports (real users / official docs)</t>
        </is>
      </c>
    </row>
    <row r="6" ht="15" customHeight="1" s="33">
      <c r="A6" s="39" t="inlineStr">
        <is>
          <t>AMBER header</t>
        </is>
      </c>
      <c r="B6" s="38" t="inlineStr">
        <is>
          <t>Field concepts confirmed in vendor docs, but exact CSV header names/order NOT independently verified</t>
        </is>
      </c>
    </row>
    <row r="8" ht="15" customHeight="1" s="33">
      <c r="A8" s="36" t="inlineStr">
        <is>
          <t>Sheets included</t>
        </is>
      </c>
      <c r="B8" s="40" t="n"/>
    </row>
    <row r="9" ht="15" customHeight="1" s="33">
      <c r="A9" s="41" t="inlineStr">
        <is>
          <t>Square — Transactions CSV</t>
        </is>
      </c>
      <c r="B9" s="40" t="inlineStr">
        <is>
          <t>VERIFIED. 53 columns — receipt-level export.</t>
        </is>
      </c>
    </row>
    <row r="10" ht="15" customHeight="1" s="33">
      <c r="A10" s="41" t="inlineStr">
        <is>
          <t>Square — Items CSV</t>
        </is>
      </c>
      <c r="B10" s="40" t="inlineStr">
        <is>
          <t>VERIFIED. 33 columns — line-item detail.</t>
        </is>
      </c>
    </row>
    <row r="11" ht="15" customHeight="1" s="33">
      <c r="A11" s="41" t="inlineStr">
        <is>
          <t>Square — Summary CSV</t>
        </is>
      </c>
      <c r="B11" s="40" t="inlineStr">
        <is>
          <t>VERIFIED. 15 columns — item-level rollup.</t>
        </is>
      </c>
    </row>
    <row r="12" ht="15" customHeight="1" s="33">
      <c r="A12" s="41" t="inlineStr">
        <is>
          <t>Loyverse — Receipts</t>
        </is>
      </c>
      <c r="B12" s="40" t="inlineStr">
        <is>
          <t>INFERRED. Field concepts from docs; exact CSV headers not confirmed.</t>
        </is>
      </c>
    </row>
    <row r="13" ht="15" customHeight="1" s="33">
      <c r="A13" s="41" t="inlineStr">
        <is>
          <t>Loyverse — Receipts by Item</t>
        </is>
      </c>
      <c r="B13" s="40" t="inlineStr">
        <is>
          <t>INFERRED. Field concepts from docs; exact CSV headers not confirmed.</t>
        </is>
      </c>
    </row>
    <row r="14" ht="15" customHeight="1" s="33">
      <c r="A14" s="41" t="inlineStr">
        <is>
          <t>Loyverse — Sales Summary</t>
        </is>
      </c>
      <c r="B14" s="40" t="inlineStr">
        <is>
          <t>INFERRED. Field concepts from docs; exact CSV headers not confirmed.</t>
        </is>
      </c>
    </row>
    <row r="15" ht="15" customHeight="1" s="33">
      <c r="A15" s="41" t="inlineStr">
        <is>
          <t>StoreHub — All Transactions</t>
        </is>
      </c>
      <c r="B15" s="40" t="inlineStr">
        <is>
          <t>INFERRED. Export exists per docs; column list not published.</t>
        </is>
      </c>
    </row>
    <row r="16" ht="15" customHeight="1" s="33">
      <c r="A16" s="41" t="inlineStr">
        <is>
          <t>StoreHub — Sales Over Time</t>
        </is>
      </c>
      <c r="B16" s="40" t="inlineStr">
        <is>
          <t>INFERRED. Report exists per docs; column list not published.</t>
        </is>
      </c>
    </row>
    <row r="17" ht="15" customHeight="1" s="33">
      <c r="A17" s="41" t="inlineStr">
        <is>
          <t>Comparison</t>
        </is>
      </c>
      <c r="B17" s="40" t="inlineStr">
        <is>
          <t>Side-by-side mapping of equivalent fields across systems.</t>
        </is>
      </c>
    </row>
    <row r="18" ht="15" customHeight="1" s="33">
      <c r="A18" s="41" t="inlineStr">
        <is>
          <t>Sources &amp; Verification</t>
        </is>
      </c>
      <c r="B18" s="40" t="inlineStr">
        <is>
          <t>Where each piece of information came from.</t>
        </is>
      </c>
    </row>
    <row r="19" ht="15" customHeight="1" s="33">
      <c r="B19" s="40" t="n"/>
    </row>
    <row r="20" ht="15" customHeight="1" s="33">
      <c r="A20" s="36" t="inlineStr">
        <is>
          <t>Currency</t>
        </is>
      </c>
      <c r="B20" s="40" t="n"/>
    </row>
    <row r="21" ht="15" customHeight="1" s="33">
      <c r="A21" s="41" t="inlineStr">
        <is>
          <t>All sample amounts</t>
        </is>
      </c>
      <c r="B21" s="40" t="inlineStr">
        <is>
          <t>Malaysian Ringgit (RM). StoreHub SST is shown at 6% (Malaysia rate).</t>
        </is>
      </c>
    </row>
    <row r="22" ht="15" customHeight="1" s="33">
      <c r="B22" s="40" t="n"/>
    </row>
    <row r="23" ht="15" customHeight="1" s="33">
      <c r="A23" s="36" t="inlineStr">
        <is>
          <t>Common formula relationships</t>
        </is>
      </c>
      <c r="B23" s="40" t="n"/>
    </row>
    <row r="24" ht="15" customHeight="1" s="33">
      <c r="A24" s="41" t="inlineStr">
        <is>
          <t>Net Sales</t>
        </is>
      </c>
      <c r="B24" s="40" t="inlineStr">
        <is>
          <t>Gross Sales minus Discounts minus Refunds</t>
        </is>
      </c>
    </row>
    <row r="25" ht="15" customHeight="1" s="33">
      <c r="A25" s="41" t="inlineStr">
        <is>
          <t>Total Collected</t>
        </is>
      </c>
      <c r="B25" s="40" t="inlineStr">
        <is>
          <t>Net Sales plus Tax plus Tip plus Service Charge</t>
        </is>
      </c>
    </row>
    <row r="26" ht="15" customHeight="1" s="33">
      <c r="A26" s="41" t="inlineStr">
        <is>
          <t>Gross Profit</t>
        </is>
      </c>
      <c r="B26" s="40" t="inlineStr">
        <is>
          <t>Net Sales minus Cost of Goods Sold (COGS)</t>
        </is>
      </c>
    </row>
    <row r="27" ht="15" customHeight="1" s="33">
      <c r="A27" s="41" t="inlineStr">
        <is>
          <t>Margin %</t>
        </is>
      </c>
      <c r="B27" s="40" t="inlineStr">
        <is>
          <t>Gross Profit divided by Net Sales</t>
        </is>
      </c>
    </row>
    <row r="28" ht="15" customHeight="1" s="33">
      <c r="A28" s="41" t="inlineStr">
        <is>
          <t>Average Sale</t>
        </is>
      </c>
      <c r="B28" s="40" t="inlineStr">
        <is>
          <t>Net Sales divided by Number of Receipts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A12"/>
  <sheetViews>
    <sheetView showFormulas="0" showGridLines="1" showRowColHeaders="1" showZeros="1" rightToLeft="0" tabSelected="0" showOutlineSymbols="1" defaultGridColor="1"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baseColWidth="8" defaultColWidth="8.6796875" defaultRowHeight="15" zeroHeight="0" outlineLevelRow="0"/>
  <cols>
    <col width="12" customWidth="1" style="32" min="1" max="1"/>
    <col width="10" customWidth="1" style="32" min="2" max="2"/>
    <col width="18" customWidth="1" style="32" min="3" max="3"/>
    <col width="12" customWidth="1" style="32" min="4" max="4"/>
    <col width="11" customWidth="1" style="32" min="5" max="5"/>
    <col width="13" customWidth="1" style="32" min="6" max="6"/>
    <col width="11" customWidth="1" style="32" min="7" max="7"/>
    <col width="13" customWidth="1" style="32" min="8" max="8"/>
    <col width="9" customWidth="1" style="32" min="9" max="10"/>
    <col width="12" customWidth="1" style="32" min="11" max="11"/>
    <col width="14" customWidth="1" style="32" min="12" max="13"/>
    <col width="11" customWidth="1" style="32" min="14" max="14"/>
    <col width="16" customWidth="1" style="32" min="15" max="15"/>
    <col width="9" customWidth="1" style="32" min="16" max="16"/>
    <col width="14" customWidth="1" style="32" min="17" max="17"/>
    <col width="12" customWidth="1" style="32" min="18" max="18"/>
    <col width="14" customWidth="1" style="32" min="19" max="19"/>
    <col width="13" customWidth="1" style="32" min="20" max="20"/>
    <col width="9" customWidth="1" style="32" min="21" max="21"/>
    <col width="11" customWidth="1" style="32" min="22" max="22"/>
    <col width="16" customWidth="1" style="32" min="23" max="24"/>
    <col width="11" customWidth="1" style="32" min="25" max="26"/>
    <col width="22" customWidth="1" style="32" min="27" max="27"/>
    <col width="16" customWidth="1" style="32" min="28" max="28"/>
    <col width="10" customWidth="1" style="32" min="29" max="29"/>
    <col width="12" customWidth="1" style="32" min="30" max="30"/>
    <col width="22" customWidth="1" style="32" min="31" max="31"/>
    <col width="12" customWidth="1" style="32" min="32" max="32"/>
    <col width="18" customWidth="1" style="32" min="33" max="33"/>
    <col width="13" customWidth="1" style="32" min="34" max="34"/>
    <col width="14" customWidth="1" style="32" min="35" max="35"/>
    <col width="18" customWidth="1" style="32" min="36" max="36"/>
    <col width="16" customWidth="1" style="32" min="37" max="37"/>
    <col width="18" customWidth="1" style="32" min="38" max="38"/>
    <col width="14" customWidth="1" style="32" min="39" max="40"/>
    <col width="12" customWidth="1" style="32" min="41" max="41"/>
    <col width="14" customWidth="1" style="32" min="42" max="46"/>
    <col width="16" customWidth="1" style="32" min="47" max="47"/>
    <col width="11" customWidth="1" style="32" min="48" max="48"/>
    <col width="16" customWidth="1" style="32" min="49" max="52"/>
    <col width="14" customWidth="1" style="32" min="53" max="53"/>
  </cols>
  <sheetData>
    <row r="1" ht="17.35" customHeight="1" s="33">
      <c r="A1" s="34" t="inlineStr">
        <is>
          <t>Square — Transactions CSV</t>
        </is>
      </c>
    </row>
    <row r="2" ht="15" customHeight="1" s="33">
      <c r="A2" s="35" t="inlineStr">
        <is>
          <t>Square Dashboard › Transactions › Export › Transactions CSV. One row per payment/refund.</t>
        </is>
      </c>
    </row>
    <row r="3" ht="15" customHeight="1" s="33">
      <c r="A3" s="42" t="inlineStr">
        <is>
          <t>VERIFIED — Column names confirmed against an actual export by a Square Champion (community.squareup.com, April 2025).</t>
        </is>
      </c>
    </row>
    <row r="5" ht="36" customHeight="1" s="33">
      <c r="A5" s="43" t="inlineStr">
        <is>
          <t>Date</t>
        </is>
      </c>
      <c r="B5" s="43" t="inlineStr">
        <is>
          <t>Time</t>
        </is>
      </c>
      <c r="C5" s="43" t="inlineStr">
        <is>
          <t>Time Zone</t>
        </is>
      </c>
      <c r="D5" s="43" t="inlineStr">
        <is>
          <t>Gross Sales</t>
        </is>
      </c>
      <c r="E5" s="43" t="inlineStr">
        <is>
          <t>Discounts</t>
        </is>
      </c>
      <c r="F5" s="43" t="inlineStr">
        <is>
          <t>Service Charges</t>
        </is>
      </c>
      <c r="G5" s="43" t="inlineStr">
        <is>
          <t>Net Sales</t>
        </is>
      </c>
      <c r="H5" s="43" t="inlineStr">
        <is>
          <t>Gift Card Sales</t>
        </is>
      </c>
      <c r="I5" s="43" t="inlineStr">
        <is>
          <t>Tax</t>
        </is>
      </c>
      <c r="J5" s="43" t="inlineStr">
        <is>
          <t>Tip</t>
        </is>
      </c>
      <c r="K5" s="43" t="inlineStr">
        <is>
          <t>Partial Refunds</t>
        </is>
      </c>
      <c r="L5" s="43" t="inlineStr">
        <is>
          <t>Total Collected</t>
        </is>
      </c>
      <c r="M5" s="43" t="inlineStr">
        <is>
          <t>Source</t>
        </is>
      </c>
      <c r="N5" s="43" t="inlineStr">
        <is>
          <t>Card</t>
        </is>
      </c>
      <c r="O5" s="43" t="inlineStr">
        <is>
          <t>Card Entry Methods</t>
        </is>
      </c>
      <c r="P5" s="43" t="inlineStr">
        <is>
          <t>Cash</t>
        </is>
      </c>
      <c r="Q5" s="43" t="inlineStr">
        <is>
          <t>Square Gift Card</t>
        </is>
      </c>
      <c r="R5" s="43" t="inlineStr">
        <is>
          <t>Other Tender</t>
        </is>
      </c>
      <c r="S5" s="43" t="inlineStr">
        <is>
          <t>Other Tender Type</t>
        </is>
      </c>
      <c r="T5" s="43" t="inlineStr">
        <is>
          <t>Tender Note</t>
        </is>
      </c>
      <c r="U5" s="43" t="inlineStr">
        <is>
          <t>Fees</t>
        </is>
      </c>
      <c r="V5" s="43" t="inlineStr">
        <is>
          <t>Net Total</t>
        </is>
      </c>
      <c r="W5" s="43" t="inlineStr">
        <is>
          <t>Transaction ID</t>
        </is>
      </c>
      <c r="X5" s="43" t="inlineStr">
        <is>
          <t>Payment ID</t>
        </is>
      </c>
      <c r="Y5" s="43" t="inlineStr">
        <is>
          <t>Card Brand</t>
        </is>
      </c>
      <c r="Z5" s="43" t="inlineStr">
        <is>
          <t>PAN Suffix</t>
        </is>
      </c>
      <c r="AA5" s="43" t="inlineStr">
        <is>
          <t>Device Name</t>
        </is>
      </c>
      <c r="AB5" s="43" t="inlineStr">
        <is>
          <t>Staff Name</t>
        </is>
      </c>
      <c r="AC5" s="43" t="inlineStr">
        <is>
          <t>Staff ID</t>
        </is>
      </c>
      <c r="AD5" s="43" t="inlineStr">
        <is>
          <t>Details</t>
        </is>
      </c>
      <c r="AE5" s="43" t="inlineStr">
        <is>
          <t>Description</t>
        </is>
      </c>
      <c r="AF5" s="43" t="inlineStr">
        <is>
          <t>Event Type</t>
        </is>
      </c>
      <c r="AG5" s="43" t="inlineStr">
        <is>
          <t>Location</t>
        </is>
      </c>
      <c r="AH5" s="43" t="inlineStr">
        <is>
          <t>Dining Option</t>
        </is>
      </c>
      <c r="AI5" s="43" t="inlineStr">
        <is>
          <t>Customer ID</t>
        </is>
      </c>
      <c r="AJ5" s="43" t="inlineStr">
        <is>
          <t>Customer Name</t>
        </is>
      </c>
      <c r="AK5" s="43" t="inlineStr">
        <is>
          <t>Customer Reference ID</t>
        </is>
      </c>
      <c r="AL5" s="43" t="inlineStr">
        <is>
          <t>Device Nickname</t>
        </is>
      </c>
      <c r="AM5" s="43" t="inlineStr">
        <is>
          <t>Third Party Fees</t>
        </is>
      </c>
      <c r="AN5" s="43" t="inlineStr">
        <is>
          <t>Deposit ID</t>
        </is>
      </c>
      <c r="AO5" s="43" t="inlineStr">
        <is>
          <t>Deposit Date</t>
        </is>
      </c>
      <c r="AP5" s="43" t="inlineStr">
        <is>
          <t>Deposit Details</t>
        </is>
      </c>
      <c r="AQ5" s="43" t="inlineStr">
        <is>
          <t>Fee Percentage Rate</t>
        </is>
      </c>
      <c r="AR5" s="43" t="inlineStr">
        <is>
          <t>Fee Fixed Rate</t>
        </is>
      </c>
      <c r="AS5" s="43" t="inlineStr">
        <is>
          <t>Refund Reason</t>
        </is>
      </c>
      <c r="AT5" s="43" t="inlineStr">
        <is>
          <t>Discount Name</t>
        </is>
      </c>
      <c r="AU5" s="43" t="inlineStr">
        <is>
          <t>Transaction Status</t>
        </is>
      </c>
      <c r="AV5" s="43" t="inlineStr">
        <is>
          <t>Cash App</t>
        </is>
      </c>
      <c r="AW5" s="43" t="inlineStr">
        <is>
          <t>Order Reference ID</t>
        </is>
      </c>
      <c r="AX5" s="43" t="inlineStr">
        <is>
          <t>Fulfillment Note</t>
        </is>
      </c>
      <c r="AY5" s="43" t="inlineStr">
        <is>
          <t>Free Processing Applied</t>
        </is>
      </c>
      <c r="AZ5" s="43" t="inlineStr">
        <is>
          <t>Channel</t>
        </is>
      </c>
      <c r="BA5" s="43" t="inlineStr">
        <is>
          <t>Unattributed Tips</t>
        </is>
      </c>
    </row>
    <row r="6" ht="15" customHeight="1" s="33">
      <c r="A6" s="44" t="inlineStr">
        <is>
          <t>2026-04-20</t>
        </is>
      </c>
      <c r="B6" s="44" t="inlineStr">
        <is>
          <t>09:42:15</t>
        </is>
      </c>
      <c r="C6" s="44" t="inlineStr">
        <is>
          <t>Asia/Kuala_Lumpur</t>
        </is>
      </c>
      <c r="D6" s="45" t="n">
        <v>45</v>
      </c>
      <c r="E6" s="45" t="n">
        <v>0</v>
      </c>
      <c r="F6" s="45" t="n">
        <v>0</v>
      </c>
      <c r="G6" s="45" t="n">
        <v>45</v>
      </c>
      <c r="H6" s="45" t="n">
        <v>0</v>
      </c>
      <c r="I6" s="45" t="n">
        <v>2.7</v>
      </c>
      <c r="J6" s="45" t="n">
        <v>0</v>
      </c>
      <c r="K6" s="45" t="n">
        <v>0</v>
      </c>
      <c r="L6" s="45" t="n">
        <v>47.7</v>
      </c>
      <c r="M6" s="44" t="inlineStr">
        <is>
          <t>Square POS</t>
        </is>
      </c>
      <c r="N6" s="45" t="n">
        <v>47.7</v>
      </c>
      <c r="O6" s="44" t="inlineStr">
        <is>
          <t>Tapped</t>
        </is>
      </c>
      <c r="P6" s="45" t="n">
        <v>0</v>
      </c>
      <c r="Q6" s="45" t="n">
        <v>0</v>
      </c>
      <c r="R6" s="45" t="n">
        <v>0</v>
      </c>
      <c r="S6" s="44" t="n"/>
      <c r="T6" s="44" t="n"/>
      <c r="U6" s="45" t="n">
        <v>0.95</v>
      </c>
      <c r="V6" s="45" t="n">
        <v>46.75</v>
      </c>
      <c r="W6" s="44" t="inlineStr">
        <is>
          <t>TXN-A8K2L9P3</t>
        </is>
      </c>
      <c r="X6" s="44" t="inlineStr">
        <is>
          <t>PMT-A8K2L9P3</t>
        </is>
      </c>
      <c r="Y6" s="44" t="inlineStr">
        <is>
          <t>Visa</t>
        </is>
      </c>
      <c r="Z6" s="44" t="inlineStr">
        <is>
          <t>4321</t>
        </is>
      </c>
      <c r="AA6" s="44" t="inlineStr">
        <is>
          <t>iPad - Front Counter</t>
        </is>
      </c>
      <c r="AB6" s="44" t="inlineStr">
        <is>
          <t>Aisha Tan</t>
        </is>
      </c>
      <c r="AC6" s="44" t="inlineStr">
        <is>
          <t>STF-001</t>
        </is>
      </c>
      <c r="AD6" s="44" t="n"/>
      <c r="AE6" s="44" t="inlineStr">
        <is>
          <t>Coffee + pastry</t>
        </is>
      </c>
      <c r="AF6" s="44" t="inlineStr">
        <is>
          <t>Payment</t>
        </is>
      </c>
      <c r="AG6" s="44" t="inlineStr">
        <is>
          <t>KL Main Store</t>
        </is>
      </c>
      <c r="AH6" s="44" t="inlineStr">
        <is>
          <t>Dine in</t>
        </is>
      </c>
      <c r="AI6" s="44" t="inlineStr">
        <is>
          <t>CUST-1042</t>
        </is>
      </c>
      <c r="AJ6" s="44" t="inlineStr">
        <is>
          <t>Lim Wei Ming</t>
        </is>
      </c>
      <c r="AK6" s="44" t="n"/>
      <c r="AL6" s="44" t="inlineStr">
        <is>
          <t>iPad - Front Counter</t>
        </is>
      </c>
      <c r="AM6" s="45" t="n">
        <v>0</v>
      </c>
      <c r="AN6" s="44" t="n"/>
      <c r="AO6" s="44" t="n"/>
      <c r="AP6" s="44" t="n"/>
      <c r="AQ6" s="44" t="n"/>
      <c r="AR6" s="44" t="n"/>
      <c r="AS6" s="44" t="n"/>
      <c r="AT6" s="44" t="n"/>
      <c r="AU6" s="44" t="inlineStr">
        <is>
          <t>Complete</t>
        </is>
      </c>
      <c r="AV6" s="44" t="n"/>
      <c r="AW6" s="44" t="n"/>
      <c r="AX6" s="44" t="n"/>
      <c r="AY6" s="44" t="inlineStr">
        <is>
          <t>No</t>
        </is>
      </c>
      <c r="AZ6" s="44" t="inlineStr">
        <is>
          <t>Point of Sale</t>
        </is>
      </c>
      <c r="BA6" s="45" t="n">
        <v>0</v>
      </c>
    </row>
    <row r="7" ht="15" customHeight="1" s="33">
      <c r="A7" s="44" t="inlineStr">
        <is>
          <t>2026-04-20</t>
        </is>
      </c>
      <c r="B7" s="44" t="inlineStr">
        <is>
          <t>10:15:33</t>
        </is>
      </c>
      <c r="C7" s="44" t="inlineStr">
        <is>
          <t>Asia/Kuala_Lumpur</t>
        </is>
      </c>
      <c r="D7" s="45" t="n">
        <v>28.5</v>
      </c>
      <c r="E7" s="45" t="n">
        <v>2.5</v>
      </c>
      <c r="F7" s="45" t="n">
        <v>0</v>
      </c>
      <c r="G7" s="45" t="n">
        <v>26</v>
      </c>
      <c r="H7" s="45" t="n">
        <v>0</v>
      </c>
      <c r="I7" s="45" t="n">
        <v>1.56</v>
      </c>
      <c r="J7" s="45" t="n">
        <v>0</v>
      </c>
      <c r="K7" s="45" t="n">
        <v>0</v>
      </c>
      <c r="L7" s="45" t="n">
        <v>27.56</v>
      </c>
      <c r="M7" s="44" t="inlineStr">
        <is>
          <t>Square POS</t>
        </is>
      </c>
      <c r="N7" s="45" t="n">
        <v>0</v>
      </c>
      <c r="O7" s="44" t="n"/>
      <c r="P7" s="45" t="n">
        <v>27.56</v>
      </c>
      <c r="Q7" s="45" t="n">
        <v>0</v>
      </c>
      <c r="R7" s="45" t="n">
        <v>0</v>
      </c>
      <c r="S7" s="44" t="n"/>
      <c r="T7" s="44" t="n"/>
      <c r="U7" s="45" t="n">
        <v>0</v>
      </c>
      <c r="V7" s="45" t="n">
        <v>27.56</v>
      </c>
      <c r="W7" s="44" t="inlineStr">
        <is>
          <t>TXN-B7M3N1Q4</t>
        </is>
      </c>
      <c r="X7" s="44" t="inlineStr">
        <is>
          <t>PMT-B7M3N1Q4</t>
        </is>
      </c>
      <c r="Y7" s="44" t="n"/>
      <c r="Z7" s="44" t="n"/>
      <c r="AA7" s="44" t="inlineStr">
        <is>
          <t>iPad - Front Counter</t>
        </is>
      </c>
      <c r="AB7" s="44" t="inlineStr">
        <is>
          <t>Aisha Tan</t>
        </is>
      </c>
      <c r="AC7" s="44" t="inlineStr">
        <is>
          <t>STF-001</t>
        </is>
      </c>
      <c r="AD7" s="44" t="n"/>
      <c r="AE7" s="44" t="inlineStr">
        <is>
          <t>Lunch set with promo</t>
        </is>
      </c>
      <c r="AF7" s="44" t="inlineStr">
        <is>
          <t>Payment</t>
        </is>
      </c>
      <c r="AG7" s="44" t="inlineStr">
        <is>
          <t>KL Main Store</t>
        </is>
      </c>
      <c r="AH7" s="44" t="inlineStr">
        <is>
          <t>Take away</t>
        </is>
      </c>
      <c r="AI7" s="44" t="n"/>
      <c r="AJ7" s="44" t="n"/>
      <c r="AK7" s="44" t="n"/>
      <c r="AL7" s="44" t="inlineStr">
        <is>
          <t>iPad - Front Counter</t>
        </is>
      </c>
      <c r="AM7" s="45" t="n">
        <v>0</v>
      </c>
      <c r="AN7" s="44" t="n"/>
      <c r="AO7" s="44" t="n"/>
      <c r="AP7" s="44" t="n"/>
      <c r="AQ7" s="44" t="n"/>
      <c r="AR7" s="44" t="n"/>
      <c r="AS7" s="44" t="n"/>
      <c r="AT7" s="44" t="n"/>
      <c r="AU7" s="44" t="inlineStr">
        <is>
          <t>Complete</t>
        </is>
      </c>
      <c r="AV7" s="44" t="n"/>
      <c r="AW7" s="44" t="n"/>
      <c r="AX7" s="44" t="n"/>
      <c r="AY7" s="44" t="inlineStr">
        <is>
          <t>No</t>
        </is>
      </c>
      <c r="AZ7" s="44" t="inlineStr">
        <is>
          <t>Point of Sale</t>
        </is>
      </c>
      <c r="BA7" s="45" t="n">
        <v>0</v>
      </c>
    </row>
    <row r="8" ht="15" customHeight="1" s="33">
      <c r="A8" s="44" t="inlineStr">
        <is>
          <t>2026-04-20</t>
        </is>
      </c>
      <c r="B8" s="44" t="inlineStr">
        <is>
          <t>12:30:08</t>
        </is>
      </c>
      <c r="C8" s="44" t="inlineStr">
        <is>
          <t>Asia/Kuala_Lumpur</t>
        </is>
      </c>
      <c r="D8" s="45" t="n">
        <v>120</v>
      </c>
      <c r="E8" s="45" t="n">
        <v>0</v>
      </c>
      <c r="F8" s="45" t="n">
        <v>12</v>
      </c>
      <c r="G8" s="45" t="n">
        <v>132</v>
      </c>
      <c r="H8" s="45" t="n">
        <v>0</v>
      </c>
      <c r="I8" s="45" t="n">
        <v>7.92</v>
      </c>
      <c r="J8" s="45" t="n">
        <v>15</v>
      </c>
      <c r="K8" s="45" t="n">
        <v>0</v>
      </c>
      <c r="L8" s="45" t="n">
        <v>154.92</v>
      </c>
      <c r="M8" s="44" t="inlineStr">
        <is>
          <t>Square Online</t>
        </is>
      </c>
      <c r="N8" s="45" t="n">
        <v>154.92</v>
      </c>
      <c r="O8" s="44" t="inlineStr">
        <is>
          <t>Keyed</t>
        </is>
      </c>
      <c r="P8" s="45" t="n">
        <v>0</v>
      </c>
      <c r="Q8" s="45" t="n">
        <v>0</v>
      </c>
      <c r="R8" s="45" t="n">
        <v>0</v>
      </c>
      <c r="S8" s="44" t="n"/>
      <c r="T8" s="44" t="n"/>
      <c r="U8" s="45" t="n">
        <v>3.1</v>
      </c>
      <c r="V8" s="45" t="n">
        <v>151.82</v>
      </c>
      <c r="W8" s="44" t="inlineStr">
        <is>
          <t>TXN-C5R8X2Y7</t>
        </is>
      </c>
      <c r="X8" s="44" t="inlineStr">
        <is>
          <t>PMT-C5R8X2Y7</t>
        </is>
      </c>
      <c r="Y8" s="44" t="inlineStr">
        <is>
          <t>Mastercard</t>
        </is>
      </c>
      <c r="Z8" s="44" t="inlineStr">
        <is>
          <t>8765</t>
        </is>
      </c>
      <c r="AA8" s="44" t="inlineStr">
        <is>
          <t>Online</t>
        </is>
      </c>
      <c r="AB8" s="44" t="inlineStr">
        <is>
          <t>Online Order</t>
        </is>
      </c>
      <c r="AC8" s="44" t="inlineStr">
        <is>
          <t>STF-000</t>
        </is>
      </c>
      <c r="AD8" s="44" t="n"/>
      <c r="AE8" s="44" t="inlineStr">
        <is>
          <t>Family meal</t>
        </is>
      </c>
      <c r="AF8" s="44" t="inlineStr">
        <is>
          <t>Payment</t>
        </is>
      </c>
      <c r="AG8" s="44" t="inlineStr">
        <is>
          <t>KL Main Store</t>
        </is>
      </c>
      <c r="AH8" s="44" t="inlineStr">
        <is>
          <t>Delivery</t>
        </is>
      </c>
      <c r="AI8" s="44" t="inlineStr">
        <is>
          <t>CUST-2891</t>
        </is>
      </c>
      <c r="AJ8" s="44" t="inlineStr">
        <is>
          <t>Sarah Chen</t>
        </is>
      </c>
      <c r="AK8" s="44" t="n"/>
      <c r="AL8" s="44" t="inlineStr">
        <is>
          <t>Online</t>
        </is>
      </c>
      <c r="AM8" s="45" t="n">
        <v>0</v>
      </c>
      <c r="AN8" s="44" t="n"/>
      <c r="AO8" s="44" t="n"/>
      <c r="AP8" s="44" t="n"/>
      <c r="AQ8" s="44" t="n"/>
      <c r="AR8" s="44" t="n"/>
      <c r="AS8" s="44" t="n"/>
      <c r="AT8" s="44" t="n"/>
      <c r="AU8" s="44" t="inlineStr">
        <is>
          <t>Complete</t>
        </is>
      </c>
      <c r="AV8" s="44" t="n"/>
      <c r="AW8" s="44" t="n"/>
      <c r="AX8" s="44" t="n"/>
      <c r="AY8" s="44" t="inlineStr">
        <is>
          <t>No</t>
        </is>
      </c>
      <c r="AZ8" s="44" t="inlineStr">
        <is>
          <t>Online Store</t>
        </is>
      </c>
      <c r="BA8" s="45" t="n">
        <v>0</v>
      </c>
    </row>
    <row r="9" ht="15" customHeight="1" s="33">
      <c r="A9" s="44" t="inlineStr">
        <is>
          <t>2026-04-20</t>
        </is>
      </c>
      <c r="B9" s="44" t="inlineStr">
        <is>
          <t>14:05:47</t>
        </is>
      </c>
      <c r="C9" s="44" t="inlineStr">
        <is>
          <t>Asia/Kuala_Lumpur</t>
        </is>
      </c>
      <c r="D9" s="45" t="n">
        <v>18</v>
      </c>
      <c r="E9" s="45" t="n">
        <v>0</v>
      </c>
      <c r="F9" s="45" t="n">
        <v>0</v>
      </c>
      <c r="G9" s="45" t="n">
        <v>18</v>
      </c>
      <c r="H9" s="45" t="n">
        <v>0</v>
      </c>
      <c r="I9" s="45" t="n">
        <v>1.08</v>
      </c>
      <c r="J9" s="45" t="n">
        <v>0</v>
      </c>
      <c r="K9" s="45" t="n">
        <v>0</v>
      </c>
      <c r="L9" s="45" t="n">
        <v>19.08</v>
      </c>
      <c r="M9" s="44" t="inlineStr">
        <is>
          <t>Square POS</t>
        </is>
      </c>
      <c r="N9" s="45" t="n">
        <v>0</v>
      </c>
      <c r="O9" s="44" t="n"/>
      <c r="P9" s="45" t="n">
        <v>19.08</v>
      </c>
      <c r="Q9" s="45" t="n">
        <v>0</v>
      </c>
      <c r="R9" s="45" t="n">
        <v>0</v>
      </c>
      <c r="S9" s="44" t="n"/>
      <c r="T9" s="44" t="n"/>
      <c r="U9" s="45" t="n">
        <v>0</v>
      </c>
      <c r="V9" s="45" t="n">
        <v>19.08</v>
      </c>
      <c r="W9" s="44" t="inlineStr">
        <is>
          <t>TXN-D4S6T8U1</t>
        </is>
      </c>
      <c r="X9" s="44" t="inlineStr">
        <is>
          <t>PMT-D4S6T8U1</t>
        </is>
      </c>
      <c r="Y9" s="44" t="n"/>
      <c r="Z9" s="44" t="n"/>
      <c r="AA9" s="44" t="inlineStr">
        <is>
          <t>iPad - Front Counter</t>
        </is>
      </c>
      <c r="AB9" s="44" t="inlineStr">
        <is>
          <t>Rajesh Kumar</t>
        </is>
      </c>
      <c r="AC9" s="44" t="inlineStr">
        <is>
          <t>STF-002</t>
        </is>
      </c>
      <c r="AD9" s="44" t="n"/>
      <c r="AE9" s="44" t="inlineStr">
        <is>
          <t>Iced latte x 2</t>
        </is>
      </c>
      <c r="AF9" s="44" t="inlineStr">
        <is>
          <t>Payment</t>
        </is>
      </c>
      <c r="AG9" s="44" t="inlineStr">
        <is>
          <t>KL Main Store</t>
        </is>
      </c>
      <c r="AH9" s="44" t="inlineStr">
        <is>
          <t>Dine in</t>
        </is>
      </c>
      <c r="AI9" s="44" t="n"/>
      <c r="AJ9" s="44" t="n"/>
      <c r="AK9" s="44" t="n"/>
      <c r="AL9" s="44" t="inlineStr">
        <is>
          <t>iPad - Front Counter</t>
        </is>
      </c>
      <c r="AM9" s="45" t="n">
        <v>0</v>
      </c>
      <c r="AN9" s="44" t="n"/>
      <c r="AO9" s="44" t="n"/>
      <c r="AP9" s="44" t="n"/>
      <c r="AQ9" s="44" t="n"/>
      <c r="AR9" s="44" t="n"/>
      <c r="AS9" s="44" t="n"/>
      <c r="AT9" s="44" t="n"/>
      <c r="AU9" s="44" t="inlineStr">
        <is>
          <t>Complete</t>
        </is>
      </c>
      <c r="AV9" s="44" t="n"/>
      <c r="AW9" s="44" t="n"/>
      <c r="AX9" s="44" t="n"/>
      <c r="AY9" s="44" t="inlineStr">
        <is>
          <t>No</t>
        </is>
      </c>
      <c r="AZ9" s="44" t="inlineStr">
        <is>
          <t>Point of Sale</t>
        </is>
      </c>
      <c r="BA9" s="45" t="n">
        <v>0</v>
      </c>
    </row>
    <row r="10" ht="15" customHeight="1" s="33">
      <c r="A10" s="44" t="inlineStr">
        <is>
          <t>2026-04-20</t>
        </is>
      </c>
      <c r="B10" s="44" t="inlineStr">
        <is>
          <t>16:22:11</t>
        </is>
      </c>
      <c r="C10" s="44" t="inlineStr">
        <is>
          <t>Asia/Kuala_Lumpur</t>
        </is>
      </c>
      <c r="D10" s="45" t="n">
        <v>65</v>
      </c>
      <c r="E10" s="45" t="n">
        <v>0</v>
      </c>
      <c r="F10" s="45" t="n">
        <v>0</v>
      </c>
      <c r="G10" s="45" t="n">
        <v>65</v>
      </c>
      <c r="H10" s="45" t="n">
        <v>0</v>
      </c>
      <c r="I10" s="45" t="n">
        <v>3.9</v>
      </c>
      <c r="J10" s="45" t="n">
        <v>5</v>
      </c>
      <c r="K10" s="45" t="n">
        <v>0</v>
      </c>
      <c r="L10" s="45" t="n">
        <v>73.90000000000001</v>
      </c>
      <c r="M10" s="44" t="inlineStr">
        <is>
          <t>Square POS</t>
        </is>
      </c>
      <c r="N10" s="45" t="n">
        <v>73.90000000000001</v>
      </c>
      <c r="O10" s="44" t="inlineStr">
        <is>
          <t>Inserted</t>
        </is>
      </c>
      <c r="P10" s="45" t="n">
        <v>0</v>
      </c>
      <c r="Q10" s="45" t="n">
        <v>0</v>
      </c>
      <c r="R10" s="45" t="n">
        <v>0</v>
      </c>
      <c r="S10" s="44" t="n"/>
      <c r="T10" s="44" t="n"/>
      <c r="U10" s="45" t="n">
        <v>1.48</v>
      </c>
      <c r="V10" s="45" t="n">
        <v>72.42</v>
      </c>
      <c r="W10" s="44" t="inlineStr">
        <is>
          <t>TXN-E3V7W2Z9</t>
        </is>
      </c>
      <c r="X10" s="44" t="inlineStr">
        <is>
          <t>PMT-E3V7W2Z9</t>
        </is>
      </c>
      <c r="Y10" s="44" t="inlineStr">
        <is>
          <t>Visa</t>
        </is>
      </c>
      <c r="Z10" s="44" t="inlineStr">
        <is>
          <t>1122</t>
        </is>
      </c>
      <c r="AA10" s="44" t="inlineStr">
        <is>
          <t>iPad - Front Counter</t>
        </is>
      </c>
      <c r="AB10" s="44" t="inlineStr">
        <is>
          <t>Rajesh Kumar</t>
        </is>
      </c>
      <c r="AC10" s="44" t="inlineStr">
        <is>
          <t>STF-002</t>
        </is>
      </c>
      <c r="AD10" s="44" t="n"/>
      <c r="AE10" s="44" t="inlineStr">
        <is>
          <t>Sandwich + drinks</t>
        </is>
      </c>
      <c r="AF10" s="44" t="inlineStr">
        <is>
          <t>Payment</t>
        </is>
      </c>
      <c r="AG10" s="44" t="inlineStr">
        <is>
          <t>KL Main Store</t>
        </is>
      </c>
      <c r="AH10" s="44" t="inlineStr">
        <is>
          <t>Dine in</t>
        </is>
      </c>
      <c r="AI10" s="44" t="inlineStr">
        <is>
          <t>CUST-3104</t>
        </is>
      </c>
      <c r="AJ10" s="44" t="inlineStr">
        <is>
          <t>Daniel Wong</t>
        </is>
      </c>
      <c r="AK10" s="44" t="n"/>
      <c r="AL10" s="44" t="inlineStr">
        <is>
          <t>iPad - Front Counter</t>
        </is>
      </c>
      <c r="AM10" s="45" t="n">
        <v>0</v>
      </c>
      <c r="AN10" s="44" t="n"/>
      <c r="AO10" s="44" t="n"/>
      <c r="AP10" s="44" t="n"/>
      <c r="AQ10" s="44" t="n"/>
      <c r="AR10" s="44" t="n"/>
      <c r="AS10" s="44" t="n"/>
      <c r="AT10" s="44" t="n"/>
      <c r="AU10" s="44" t="inlineStr">
        <is>
          <t>Complete</t>
        </is>
      </c>
      <c r="AV10" s="44" t="n"/>
      <c r="AW10" s="44" t="n"/>
      <c r="AX10" s="44" t="n"/>
      <c r="AY10" s="44" t="inlineStr">
        <is>
          <t>No</t>
        </is>
      </c>
      <c r="AZ10" s="44" t="inlineStr">
        <is>
          <t>Point of Sale</t>
        </is>
      </c>
      <c r="BA10" s="45" t="n">
        <v>0</v>
      </c>
    </row>
    <row r="11" ht="15" customHeight="1" s="33">
      <c r="A11" s="44" t="inlineStr">
        <is>
          <t>2026-04-20</t>
        </is>
      </c>
      <c r="B11" s="44" t="inlineStr">
        <is>
          <t>17:45:22</t>
        </is>
      </c>
      <c r="C11" s="44" t="inlineStr">
        <is>
          <t>Asia/Kuala_Lumpur</t>
        </is>
      </c>
      <c r="D11" s="45" t="n">
        <v>-45</v>
      </c>
      <c r="E11" s="45" t="n">
        <v>0</v>
      </c>
      <c r="F11" s="45" t="n">
        <v>0</v>
      </c>
      <c r="G11" s="45" t="n">
        <v>-45</v>
      </c>
      <c r="H11" s="45" t="n">
        <v>0</v>
      </c>
      <c r="I11" s="45" t="n">
        <v>-2.7</v>
      </c>
      <c r="J11" s="45" t="n">
        <v>0</v>
      </c>
      <c r="K11" s="45" t="n">
        <v>0</v>
      </c>
      <c r="L11" s="45" t="n">
        <v>-47.7</v>
      </c>
      <c r="M11" s="44" t="inlineStr">
        <is>
          <t>Square POS</t>
        </is>
      </c>
      <c r="N11" s="45" t="n">
        <v>-47.7</v>
      </c>
      <c r="O11" s="44" t="inlineStr">
        <is>
          <t>Tapped</t>
        </is>
      </c>
      <c r="P11" s="45" t="n">
        <v>0</v>
      </c>
      <c r="Q11" s="45" t="n">
        <v>0</v>
      </c>
      <c r="R11" s="45" t="n">
        <v>0</v>
      </c>
      <c r="S11" s="44" t="n"/>
      <c r="T11" s="44" t="n"/>
      <c r="U11" s="45" t="n">
        <v>0</v>
      </c>
      <c r="V11" s="45" t="n">
        <v>-47.7</v>
      </c>
      <c r="W11" s="44" t="inlineStr">
        <is>
          <t>TXN-A8K2L9P3R</t>
        </is>
      </c>
      <c r="X11" s="44" t="inlineStr">
        <is>
          <t>PMT-A8K2L9P3R</t>
        </is>
      </c>
      <c r="Y11" s="44" t="inlineStr">
        <is>
          <t>Visa</t>
        </is>
      </c>
      <c r="Z11" s="44" t="inlineStr">
        <is>
          <t>4321</t>
        </is>
      </c>
      <c r="AA11" s="44" t="inlineStr">
        <is>
          <t>iPad - Front Counter</t>
        </is>
      </c>
      <c r="AB11" s="44" t="inlineStr">
        <is>
          <t>Aisha Tan</t>
        </is>
      </c>
      <c r="AC11" s="44" t="inlineStr">
        <is>
          <t>STF-001</t>
        </is>
      </c>
      <c r="AD11" s="44" t="n"/>
      <c r="AE11" s="44" t="inlineStr">
        <is>
          <t>Refund — wrong order</t>
        </is>
      </c>
      <c r="AF11" s="44" t="inlineStr">
        <is>
          <t>Refund</t>
        </is>
      </c>
      <c r="AG11" s="44" t="inlineStr">
        <is>
          <t>KL Main Store</t>
        </is>
      </c>
      <c r="AH11" s="44" t="inlineStr">
        <is>
          <t>Dine in</t>
        </is>
      </c>
      <c r="AI11" s="44" t="inlineStr">
        <is>
          <t>CUST-1042</t>
        </is>
      </c>
      <c r="AJ11" s="44" t="inlineStr">
        <is>
          <t>Lim Wei Ming</t>
        </is>
      </c>
      <c r="AK11" s="44" t="n"/>
      <c r="AL11" s="44" t="inlineStr">
        <is>
          <t>iPad - Front Counter</t>
        </is>
      </c>
      <c r="AM11" s="45" t="n">
        <v>0</v>
      </c>
      <c r="AN11" s="44" t="n"/>
      <c r="AO11" s="44" t="n"/>
      <c r="AP11" s="44" t="n"/>
      <c r="AQ11" s="44" t="n"/>
      <c r="AR11" s="44" t="n"/>
      <c r="AS11" s="44" t="n"/>
      <c r="AT11" s="44" t="n"/>
      <c r="AU11" s="44" t="inlineStr">
        <is>
          <t>Refunded</t>
        </is>
      </c>
      <c r="AV11" s="44" t="n"/>
      <c r="AW11" s="44" t="n"/>
      <c r="AX11" s="44" t="n"/>
      <c r="AY11" s="44" t="inlineStr">
        <is>
          <t>No</t>
        </is>
      </c>
      <c r="AZ11" s="44" t="inlineStr">
        <is>
          <t>Point of Sale</t>
        </is>
      </c>
      <c r="BA11" s="45" t="n">
        <v>0</v>
      </c>
    </row>
    <row r="12" ht="15" customHeight="1" s="33">
      <c r="A12" s="46" t="inlineStr">
        <is>
          <t>TOTAL</t>
        </is>
      </c>
      <c r="B12" s="44" t="n"/>
      <c r="C12" s="44" t="n"/>
      <c r="D12" s="47">
        <f>SUM(D6:D11)</f>
        <v/>
      </c>
      <c r="E12" s="47">
        <f>SUM(E6:E11)</f>
        <v/>
      </c>
      <c r="F12" s="47">
        <f>SUM(F6:F11)</f>
        <v/>
      </c>
      <c r="G12" s="47">
        <f>SUM(G6:G11)</f>
        <v/>
      </c>
      <c r="H12" s="47">
        <f>SUM(H6:H11)</f>
        <v/>
      </c>
      <c r="I12" s="47">
        <f>SUM(I6:I11)</f>
        <v/>
      </c>
      <c r="J12" s="47">
        <f>SUM(J6:J11)</f>
        <v/>
      </c>
      <c r="K12" s="47">
        <f>SUM(K6:K11)</f>
        <v/>
      </c>
      <c r="L12" s="47">
        <f>SUM(L6:L11)</f>
        <v/>
      </c>
      <c r="M12" s="44" t="n"/>
      <c r="N12" s="47">
        <f>SUM(N6:N11)</f>
        <v/>
      </c>
      <c r="O12" s="44" t="n"/>
      <c r="P12" s="47">
        <f>SUM(P6:P11)</f>
        <v/>
      </c>
      <c r="Q12" s="47">
        <f>SUM(Q6:Q11)</f>
        <v/>
      </c>
      <c r="R12" s="47">
        <f>SUM(R6:R11)</f>
        <v/>
      </c>
      <c r="S12" s="44" t="n"/>
      <c r="T12" s="44" t="n"/>
      <c r="U12" s="47">
        <f>SUM(U6:U11)</f>
        <v/>
      </c>
      <c r="V12" s="47">
        <f>SUM(V6:V11)</f>
        <v/>
      </c>
      <c r="W12" s="44" t="n"/>
      <c r="X12" s="44" t="n"/>
      <c r="Y12" s="44" t="n"/>
      <c r="Z12" s="44" t="n"/>
      <c r="AA12" s="44" t="n"/>
      <c r="AB12" s="44" t="n"/>
      <c r="AC12" s="44" t="n"/>
      <c r="AD12" s="44" t="n"/>
      <c r="AE12" s="44" t="n"/>
      <c r="AF12" s="44" t="n"/>
      <c r="AG12" s="44" t="n"/>
      <c r="AH12" s="44" t="n"/>
      <c r="AI12" s="44" t="n"/>
      <c r="AJ12" s="44" t="n"/>
      <c r="AK12" s="44" t="n"/>
      <c r="AL12" s="44" t="n"/>
      <c r="AM12" s="47">
        <f>SUM(AM6:AM11)</f>
        <v/>
      </c>
      <c r="AN12" s="44" t="n"/>
      <c r="AO12" s="44" t="n"/>
      <c r="AP12" s="44" t="n"/>
      <c r="AQ12" s="44" t="n"/>
      <c r="AR12" s="44" t="n"/>
      <c r="AS12" s="44" t="n"/>
      <c r="AT12" s="44" t="n"/>
      <c r="AU12" s="44" t="n"/>
      <c r="AV12" s="44" t="n"/>
      <c r="AW12" s="44" t="n"/>
      <c r="AX12" s="44" t="n"/>
      <c r="AY12" s="44" t="n"/>
      <c r="AZ12" s="44" t="n"/>
      <c r="BA12" s="47">
        <f>SUM(BA6:BA11)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G15"/>
  <sheetViews>
    <sheetView showFormulas="0" showGridLines="1" showRowColHeaders="1" showZeros="1" rightToLeft="0" tabSelected="0" showOutlineSymbols="1" defaultGridColor="1"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baseColWidth="8" defaultColWidth="8.6796875" defaultRowHeight="15" zeroHeight="0" outlineLevelRow="0"/>
  <cols>
    <col width="12" customWidth="1" style="32" min="1" max="1"/>
    <col width="10" customWidth="1" style="32" min="2" max="2"/>
    <col width="18" customWidth="1" style="32" min="3" max="3"/>
    <col width="14" customWidth="1" style="32" min="4" max="4"/>
    <col width="22" customWidth="1" style="32" min="5" max="5"/>
    <col width="6" customWidth="1" style="32" min="6" max="6"/>
    <col width="15" customWidth="1" style="32" min="7" max="7"/>
    <col width="14" customWidth="1" style="32" min="8" max="8"/>
    <col width="22" customWidth="1" style="32" min="9" max="9"/>
    <col width="11" customWidth="1" style="32" min="10" max="12"/>
    <col width="9" customWidth="1" style="32" min="13" max="13"/>
    <col width="16" customWidth="1" style="32" min="14" max="15"/>
    <col width="22" customWidth="1" style="32" min="16" max="16"/>
    <col width="18" customWidth="1" style="32" min="17" max="17"/>
    <col width="12" customWidth="1" style="32" min="18" max="19"/>
    <col width="16" customWidth="1" style="32" min="20" max="20"/>
    <col width="13" customWidth="1" style="32" min="21" max="21"/>
    <col width="14" customWidth="1" style="32" min="22" max="22"/>
    <col width="18" customWidth="1" style="32" min="23" max="23"/>
    <col width="16" customWidth="1" style="32" min="24" max="24"/>
    <col width="8" customWidth="1" style="32" min="25" max="26"/>
    <col width="16" customWidth="1" style="32" min="27" max="27"/>
    <col width="14" customWidth="1" style="32" min="28" max="28"/>
    <col width="12" customWidth="1" style="32" min="29" max="29"/>
    <col width="16" customWidth="1" style="32" min="30" max="30"/>
    <col width="14" customWidth="1" style="32" min="31" max="32"/>
    <col width="12" customWidth="1" style="32" min="33" max="33"/>
  </cols>
  <sheetData>
    <row r="1" ht="17.35" customHeight="1" s="33">
      <c r="A1" s="34" t="inlineStr">
        <is>
          <t>Square — Items Detail CSV</t>
        </is>
      </c>
    </row>
    <row r="2" ht="15" customHeight="1" s="33">
      <c r="A2" s="35" t="inlineStr">
        <is>
          <t>Square Dashboard › Transactions › Export › Items CSV. One row per item sold per payment.</t>
        </is>
      </c>
    </row>
    <row r="3" ht="15" customHeight="1" s="33">
      <c r="A3" s="42" t="inlineStr">
        <is>
          <t>VERIFIED — Column names confirmed against an actual export by a Square Champion (community.squareup.com, April 2025).</t>
        </is>
      </c>
    </row>
    <row r="5" ht="36" customHeight="1" s="33">
      <c r="A5" s="43" t="inlineStr">
        <is>
          <t>Date</t>
        </is>
      </c>
      <c r="B5" s="43" t="inlineStr">
        <is>
          <t>Time</t>
        </is>
      </c>
      <c r="C5" s="43" t="inlineStr">
        <is>
          <t>Time Zone</t>
        </is>
      </c>
      <c r="D5" s="43" t="inlineStr">
        <is>
          <t>Category</t>
        </is>
      </c>
      <c r="E5" s="43" t="inlineStr">
        <is>
          <t>Item</t>
        </is>
      </c>
      <c r="F5" s="43" t="inlineStr">
        <is>
          <t>Qty</t>
        </is>
      </c>
      <c r="G5" s="43" t="inlineStr">
        <is>
          <t>Price Point Name</t>
        </is>
      </c>
      <c r="H5" s="43" t="inlineStr">
        <is>
          <t>SKU</t>
        </is>
      </c>
      <c r="I5" s="43" t="inlineStr">
        <is>
          <t>Modifiers Applied</t>
        </is>
      </c>
      <c r="J5" s="43" t="inlineStr">
        <is>
          <t>Gross Sales</t>
        </is>
      </c>
      <c r="K5" s="43" t="inlineStr">
        <is>
          <t>Discounts</t>
        </is>
      </c>
      <c r="L5" s="43" t="inlineStr">
        <is>
          <t>Net Sales</t>
        </is>
      </c>
      <c r="M5" s="43" t="inlineStr">
        <is>
          <t>Tax</t>
        </is>
      </c>
      <c r="N5" s="43" t="inlineStr">
        <is>
          <t>Transaction ID</t>
        </is>
      </c>
      <c r="O5" s="43" t="inlineStr">
        <is>
          <t>Payment ID</t>
        </is>
      </c>
      <c r="P5" s="43" t="inlineStr">
        <is>
          <t>Device Name</t>
        </is>
      </c>
      <c r="Q5" s="43" t="inlineStr">
        <is>
          <t>Notes</t>
        </is>
      </c>
      <c r="R5" s="43" t="inlineStr">
        <is>
          <t>Details</t>
        </is>
      </c>
      <c r="S5" s="43" t="inlineStr">
        <is>
          <t>Event Type</t>
        </is>
      </c>
      <c r="T5" s="43" t="inlineStr">
        <is>
          <t>Location</t>
        </is>
      </c>
      <c r="U5" s="43" t="inlineStr">
        <is>
          <t>Dining Option</t>
        </is>
      </c>
      <c r="V5" s="43" t="inlineStr">
        <is>
          <t>Customer ID</t>
        </is>
      </c>
      <c r="W5" s="43" t="inlineStr">
        <is>
          <t>Customer Name</t>
        </is>
      </c>
      <c r="X5" s="43" t="inlineStr">
        <is>
          <t>Customer Reference ID</t>
        </is>
      </c>
      <c r="Y5" s="43" t="inlineStr">
        <is>
          <t>Unit</t>
        </is>
      </c>
      <c r="Z5" s="43" t="inlineStr">
        <is>
          <t>Count</t>
        </is>
      </c>
      <c r="AA5" s="43" t="inlineStr">
        <is>
          <t>GTIN</t>
        </is>
      </c>
      <c r="AB5" s="43" t="inlineStr">
        <is>
          <t>Itemization Type</t>
        </is>
      </c>
      <c r="AC5" s="43" t="inlineStr">
        <is>
          <t>Commission</t>
        </is>
      </c>
      <c r="AD5" s="43" t="inlineStr">
        <is>
          <t>Employee</t>
        </is>
      </c>
      <c r="AE5" s="43" t="inlineStr">
        <is>
          <t>Fulfillment Note</t>
        </is>
      </c>
      <c r="AF5" s="43" t="inlineStr">
        <is>
          <t>Channel</t>
        </is>
      </c>
      <c r="AG5" s="43" t="inlineStr">
        <is>
          <t>Token</t>
        </is>
      </c>
    </row>
    <row r="6" ht="15" customHeight="1" s="33">
      <c r="A6" s="44" t="inlineStr">
        <is>
          <t>2026-04-20</t>
        </is>
      </c>
      <c r="B6" s="44" t="inlineStr">
        <is>
          <t>09:42:15</t>
        </is>
      </c>
      <c r="C6" s="44" t="inlineStr">
        <is>
          <t>Asia/Kuala_Lumpur</t>
        </is>
      </c>
      <c r="D6" s="44" t="inlineStr">
        <is>
          <t>Beverages</t>
        </is>
      </c>
      <c r="E6" s="44" t="inlineStr">
        <is>
          <t>Cappuccino</t>
        </is>
      </c>
      <c r="F6" s="48" t="n">
        <v>1</v>
      </c>
      <c r="G6" s="44" t="inlineStr">
        <is>
          <t>Regular</t>
        </is>
      </c>
      <c r="H6" s="44" t="inlineStr">
        <is>
          <t>BEV-CAP-R</t>
        </is>
      </c>
      <c r="I6" s="44" t="n"/>
      <c r="J6" s="45" t="n">
        <v>18</v>
      </c>
      <c r="K6" s="45" t="n">
        <v>0</v>
      </c>
      <c r="L6" s="45" t="n">
        <v>18</v>
      </c>
      <c r="M6" s="45" t="n">
        <v>1.08</v>
      </c>
      <c r="N6" s="44" t="inlineStr">
        <is>
          <t>TXN-A8K2L9P3</t>
        </is>
      </c>
      <c r="O6" s="44" t="inlineStr">
        <is>
          <t>PMT-A8K2L9P3</t>
        </is>
      </c>
      <c r="P6" s="44" t="inlineStr">
        <is>
          <t>iPad - Front Counter</t>
        </is>
      </c>
      <c r="Q6" s="44" t="n"/>
      <c r="R6" s="44" t="n"/>
      <c r="S6" s="44" t="inlineStr">
        <is>
          <t>Payment</t>
        </is>
      </c>
      <c r="T6" s="44" t="inlineStr">
        <is>
          <t>KL Main Store</t>
        </is>
      </c>
      <c r="U6" s="44" t="inlineStr">
        <is>
          <t>Dine in</t>
        </is>
      </c>
      <c r="V6" s="44" t="inlineStr">
        <is>
          <t>CUST-1042</t>
        </is>
      </c>
      <c r="W6" s="44" t="inlineStr">
        <is>
          <t>Lim Wei Ming</t>
        </is>
      </c>
      <c r="X6" s="44" t="n"/>
      <c r="Y6" s="44" t="inlineStr">
        <is>
          <t>each</t>
        </is>
      </c>
      <c r="Z6" s="48" t="n">
        <v>1</v>
      </c>
      <c r="AA6" s="44" t="n"/>
      <c r="AB6" s="44" t="inlineStr">
        <is>
          <t>ITEM</t>
        </is>
      </c>
      <c r="AC6" s="45" t="n">
        <v>0</v>
      </c>
      <c r="AD6" s="44" t="inlineStr">
        <is>
          <t>Aisha Tan</t>
        </is>
      </c>
      <c r="AE6" s="44" t="n"/>
      <c r="AF6" s="44" t="inlineStr">
        <is>
          <t>Point of Sale</t>
        </is>
      </c>
      <c r="AG6" s="44" t="inlineStr">
        <is>
          <t>TKN-001</t>
        </is>
      </c>
    </row>
    <row r="7" ht="15" customHeight="1" s="33">
      <c r="A7" s="44" t="inlineStr">
        <is>
          <t>2026-04-20</t>
        </is>
      </c>
      <c r="B7" s="44" t="inlineStr">
        <is>
          <t>09:42:15</t>
        </is>
      </c>
      <c r="C7" s="44" t="inlineStr">
        <is>
          <t>Asia/Kuala_Lumpur</t>
        </is>
      </c>
      <c r="D7" s="44" t="inlineStr">
        <is>
          <t>Pastries</t>
        </is>
      </c>
      <c r="E7" s="44" t="inlineStr">
        <is>
          <t>Almond Croissant</t>
        </is>
      </c>
      <c r="F7" s="48" t="n">
        <v>1</v>
      </c>
      <c r="G7" s="44" t="inlineStr">
        <is>
          <t>Regular</t>
        </is>
      </c>
      <c r="H7" s="44" t="inlineStr">
        <is>
          <t>PST-ALM-001</t>
        </is>
      </c>
      <c r="I7" s="44" t="n"/>
      <c r="J7" s="45" t="n">
        <v>12</v>
      </c>
      <c r="K7" s="45" t="n">
        <v>0</v>
      </c>
      <c r="L7" s="45" t="n">
        <v>12</v>
      </c>
      <c r="M7" s="45" t="n">
        <v>0.72</v>
      </c>
      <c r="N7" s="44" t="inlineStr">
        <is>
          <t>TXN-A8K2L9P3</t>
        </is>
      </c>
      <c r="O7" s="44" t="inlineStr">
        <is>
          <t>PMT-A8K2L9P3</t>
        </is>
      </c>
      <c r="P7" s="44" t="inlineStr">
        <is>
          <t>iPad - Front Counter</t>
        </is>
      </c>
      <c r="Q7" s="44" t="n"/>
      <c r="R7" s="44" t="n"/>
      <c r="S7" s="44" t="inlineStr">
        <is>
          <t>Payment</t>
        </is>
      </c>
      <c r="T7" s="44" t="inlineStr">
        <is>
          <t>KL Main Store</t>
        </is>
      </c>
      <c r="U7" s="44" t="inlineStr">
        <is>
          <t>Dine in</t>
        </is>
      </c>
      <c r="V7" s="44" t="inlineStr">
        <is>
          <t>CUST-1042</t>
        </is>
      </c>
      <c r="W7" s="44" t="inlineStr">
        <is>
          <t>Lim Wei Ming</t>
        </is>
      </c>
      <c r="X7" s="44" t="n"/>
      <c r="Y7" s="44" t="inlineStr">
        <is>
          <t>each</t>
        </is>
      </c>
      <c r="Z7" s="48" t="n">
        <v>1</v>
      </c>
      <c r="AA7" s="44" t="inlineStr">
        <is>
          <t>8901234567890</t>
        </is>
      </c>
      <c r="AB7" s="44" t="inlineStr">
        <is>
          <t>ITEM</t>
        </is>
      </c>
      <c r="AC7" s="45" t="n">
        <v>0</v>
      </c>
      <c r="AD7" s="44" t="inlineStr">
        <is>
          <t>Aisha Tan</t>
        </is>
      </c>
      <c r="AE7" s="44" t="n"/>
      <c r="AF7" s="44" t="inlineStr">
        <is>
          <t>Point of Sale</t>
        </is>
      </c>
      <c r="AG7" s="44" t="inlineStr">
        <is>
          <t>TKN-002</t>
        </is>
      </c>
    </row>
    <row r="8" ht="15" customHeight="1" s="33">
      <c r="A8" s="44" t="inlineStr">
        <is>
          <t>2026-04-20</t>
        </is>
      </c>
      <c r="B8" s="44" t="inlineStr">
        <is>
          <t>09:42:15</t>
        </is>
      </c>
      <c r="C8" s="44" t="inlineStr">
        <is>
          <t>Asia/Kuala_Lumpur</t>
        </is>
      </c>
      <c r="D8" s="44" t="inlineStr">
        <is>
          <t>Beverages</t>
        </is>
      </c>
      <c r="E8" s="44" t="inlineStr">
        <is>
          <t>Iced Latte</t>
        </is>
      </c>
      <c r="F8" s="48" t="n">
        <v>1</v>
      </c>
      <c r="G8" s="44" t="inlineStr">
        <is>
          <t>Large</t>
        </is>
      </c>
      <c r="H8" s="44" t="inlineStr">
        <is>
          <t>BEV-LAT-L</t>
        </is>
      </c>
      <c r="I8" s="44" t="inlineStr">
        <is>
          <t>Oat milk +RM2</t>
        </is>
      </c>
      <c r="J8" s="45" t="n">
        <v>15</v>
      </c>
      <c r="K8" s="45" t="n">
        <v>0</v>
      </c>
      <c r="L8" s="45" t="n">
        <v>15</v>
      </c>
      <c r="M8" s="45" t="n">
        <v>0.9</v>
      </c>
      <c r="N8" s="44" t="inlineStr">
        <is>
          <t>TXN-A8K2L9P3</t>
        </is>
      </c>
      <c r="O8" s="44" t="inlineStr">
        <is>
          <t>PMT-A8K2L9P3</t>
        </is>
      </c>
      <c r="P8" s="44" t="inlineStr">
        <is>
          <t>iPad - Front Counter</t>
        </is>
      </c>
      <c r="Q8" s="44" t="n"/>
      <c r="R8" s="44" t="n"/>
      <c r="S8" s="44" t="inlineStr">
        <is>
          <t>Payment</t>
        </is>
      </c>
      <c r="T8" s="44" t="inlineStr">
        <is>
          <t>KL Main Store</t>
        </is>
      </c>
      <c r="U8" s="44" t="inlineStr">
        <is>
          <t>Dine in</t>
        </is>
      </c>
      <c r="V8" s="44" t="inlineStr">
        <is>
          <t>CUST-1042</t>
        </is>
      </c>
      <c r="W8" s="44" t="inlineStr">
        <is>
          <t>Lim Wei Ming</t>
        </is>
      </c>
      <c r="X8" s="44" t="n"/>
      <c r="Y8" s="44" t="inlineStr">
        <is>
          <t>each</t>
        </is>
      </c>
      <c r="Z8" s="48" t="n">
        <v>1</v>
      </c>
      <c r="AA8" s="44" t="n"/>
      <c r="AB8" s="44" t="inlineStr">
        <is>
          <t>ITEM</t>
        </is>
      </c>
      <c r="AC8" s="45" t="n">
        <v>0</v>
      </c>
      <c r="AD8" s="44" t="inlineStr">
        <is>
          <t>Aisha Tan</t>
        </is>
      </c>
      <c r="AE8" s="44" t="n"/>
      <c r="AF8" s="44" t="inlineStr">
        <is>
          <t>Point of Sale</t>
        </is>
      </c>
      <c r="AG8" s="44" t="inlineStr">
        <is>
          <t>TKN-003</t>
        </is>
      </c>
    </row>
    <row r="9" ht="15" customHeight="1" s="33">
      <c r="A9" s="44" t="inlineStr">
        <is>
          <t>2026-04-20</t>
        </is>
      </c>
      <c r="B9" s="44" t="inlineStr">
        <is>
          <t>10:15:33</t>
        </is>
      </c>
      <c r="C9" s="44" t="inlineStr">
        <is>
          <t>Asia/Kuala_Lumpur</t>
        </is>
      </c>
      <c r="D9" s="44" t="inlineStr">
        <is>
          <t>Lunch Sets</t>
        </is>
      </c>
      <c r="E9" s="44" t="inlineStr">
        <is>
          <t>Chicken Rice Set</t>
        </is>
      </c>
      <c r="F9" s="48" t="n">
        <v>1</v>
      </c>
      <c r="G9" s="44" t="inlineStr">
        <is>
          <t>Regular</t>
        </is>
      </c>
      <c r="H9" s="44" t="inlineStr">
        <is>
          <t>LUN-CRS-001</t>
        </is>
      </c>
      <c r="I9" s="44" t="n"/>
      <c r="J9" s="45" t="n">
        <v>25</v>
      </c>
      <c r="K9" s="45" t="n">
        <v>2.5</v>
      </c>
      <c r="L9" s="45" t="n">
        <v>22.5</v>
      </c>
      <c r="M9" s="45" t="n">
        <v>1.35</v>
      </c>
      <c r="N9" s="44" t="inlineStr">
        <is>
          <t>TXN-B7M3N1Q4</t>
        </is>
      </c>
      <c r="O9" s="44" t="inlineStr">
        <is>
          <t>PMT-B7M3N1Q4</t>
        </is>
      </c>
      <c r="P9" s="44" t="inlineStr">
        <is>
          <t>iPad - Front Counter</t>
        </is>
      </c>
      <c r="Q9" s="44" t="inlineStr">
        <is>
          <t>10% off promo</t>
        </is>
      </c>
      <c r="R9" s="44" t="n"/>
      <c r="S9" s="44" t="inlineStr">
        <is>
          <t>Payment</t>
        </is>
      </c>
      <c r="T9" s="44" t="inlineStr">
        <is>
          <t>KL Main Store</t>
        </is>
      </c>
      <c r="U9" s="44" t="inlineStr">
        <is>
          <t>Take away</t>
        </is>
      </c>
      <c r="V9" s="44" t="n"/>
      <c r="W9" s="44" t="n"/>
      <c r="X9" s="44" t="n"/>
      <c r="Y9" s="44" t="inlineStr">
        <is>
          <t>each</t>
        </is>
      </c>
      <c r="Z9" s="48" t="n">
        <v>1</v>
      </c>
      <c r="AA9" s="44" t="n"/>
      <c r="AB9" s="44" t="inlineStr">
        <is>
          <t>ITEM</t>
        </is>
      </c>
      <c r="AC9" s="45" t="n">
        <v>0</v>
      </c>
      <c r="AD9" s="44" t="inlineStr">
        <is>
          <t>Aisha Tan</t>
        </is>
      </c>
      <c r="AE9" s="44" t="n"/>
      <c r="AF9" s="44" t="inlineStr">
        <is>
          <t>Point of Sale</t>
        </is>
      </c>
      <c r="AG9" s="44" t="inlineStr">
        <is>
          <t>TKN-004</t>
        </is>
      </c>
    </row>
    <row r="10" ht="15" customHeight="1" s="33">
      <c r="A10" s="44" t="inlineStr">
        <is>
          <t>2026-04-20</t>
        </is>
      </c>
      <c r="B10" s="44" t="inlineStr">
        <is>
          <t>10:15:33</t>
        </is>
      </c>
      <c r="C10" s="44" t="inlineStr">
        <is>
          <t>Asia/Kuala_Lumpur</t>
        </is>
      </c>
      <c r="D10" s="44" t="inlineStr">
        <is>
          <t>Beverages</t>
        </is>
      </c>
      <c r="E10" s="44" t="inlineStr">
        <is>
          <t>Soft Drink</t>
        </is>
      </c>
      <c r="F10" s="48" t="n">
        <v>1</v>
      </c>
      <c r="G10" s="44" t="inlineStr">
        <is>
          <t>Can</t>
        </is>
      </c>
      <c r="H10" s="44" t="inlineStr">
        <is>
          <t>BEV-SFD-C</t>
        </is>
      </c>
      <c r="I10" s="44" t="n"/>
      <c r="J10" s="45" t="n">
        <v>3.5</v>
      </c>
      <c r="K10" s="45" t="n">
        <v>0</v>
      </c>
      <c r="L10" s="45" t="n">
        <v>3.5</v>
      </c>
      <c r="M10" s="45" t="n">
        <v>0.21</v>
      </c>
      <c r="N10" s="44" t="inlineStr">
        <is>
          <t>TXN-B7M3N1Q4</t>
        </is>
      </c>
      <c r="O10" s="44" t="inlineStr">
        <is>
          <t>PMT-B7M3N1Q4</t>
        </is>
      </c>
      <c r="P10" s="44" t="inlineStr">
        <is>
          <t>iPad - Front Counter</t>
        </is>
      </c>
      <c r="Q10" s="44" t="n"/>
      <c r="R10" s="44" t="n"/>
      <c r="S10" s="44" t="inlineStr">
        <is>
          <t>Payment</t>
        </is>
      </c>
      <c r="T10" s="44" t="inlineStr">
        <is>
          <t>KL Main Store</t>
        </is>
      </c>
      <c r="U10" s="44" t="inlineStr">
        <is>
          <t>Take away</t>
        </is>
      </c>
      <c r="V10" s="44" t="n"/>
      <c r="W10" s="44" t="n"/>
      <c r="X10" s="44" t="n"/>
      <c r="Y10" s="44" t="inlineStr">
        <is>
          <t>each</t>
        </is>
      </c>
      <c r="Z10" s="48" t="n">
        <v>1</v>
      </c>
      <c r="AA10" s="44" t="n"/>
      <c r="AB10" s="44" t="inlineStr">
        <is>
          <t>ITEM</t>
        </is>
      </c>
      <c r="AC10" s="45" t="n">
        <v>0</v>
      </c>
      <c r="AD10" s="44" t="inlineStr">
        <is>
          <t>Aisha Tan</t>
        </is>
      </c>
      <c r="AE10" s="44" t="n"/>
      <c r="AF10" s="44" t="inlineStr">
        <is>
          <t>Point of Sale</t>
        </is>
      </c>
      <c r="AG10" s="44" t="inlineStr">
        <is>
          <t>TKN-005</t>
        </is>
      </c>
    </row>
    <row r="11" ht="15" customHeight="1" s="33">
      <c r="A11" s="44" t="inlineStr">
        <is>
          <t>2026-04-20</t>
        </is>
      </c>
      <c r="B11" s="44" t="inlineStr">
        <is>
          <t>12:30:08</t>
        </is>
      </c>
      <c r="C11" s="44" t="inlineStr">
        <is>
          <t>Asia/Kuala_Lumpur</t>
        </is>
      </c>
      <c r="D11" s="44" t="inlineStr">
        <is>
          <t>Family Meals</t>
        </is>
      </c>
      <c r="E11" s="44" t="inlineStr">
        <is>
          <t>Family Combo A</t>
        </is>
      </c>
      <c r="F11" s="48" t="n">
        <v>1</v>
      </c>
      <c r="G11" s="44" t="inlineStr">
        <is>
          <t>Set for 4</t>
        </is>
      </c>
      <c r="H11" s="44" t="inlineStr">
        <is>
          <t>FAM-COMA</t>
        </is>
      </c>
      <c r="I11" s="44" t="n"/>
      <c r="J11" s="45" t="n">
        <v>120</v>
      </c>
      <c r="K11" s="45" t="n">
        <v>0</v>
      </c>
      <c r="L11" s="45" t="n">
        <v>120</v>
      </c>
      <c r="M11" s="45" t="n">
        <v>7.92</v>
      </c>
      <c r="N11" s="44" t="inlineStr">
        <is>
          <t>TXN-C5R8X2Y7</t>
        </is>
      </c>
      <c r="O11" s="44" t="inlineStr">
        <is>
          <t>PMT-C5R8X2Y7</t>
        </is>
      </c>
      <c r="P11" s="44" t="inlineStr">
        <is>
          <t>Online</t>
        </is>
      </c>
      <c r="Q11" s="44" t="inlineStr">
        <is>
          <t>Birthday note</t>
        </is>
      </c>
      <c r="R11" s="44" t="n"/>
      <c r="S11" s="44" t="inlineStr">
        <is>
          <t>Payment</t>
        </is>
      </c>
      <c r="T11" s="44" t="inlineStr">
        <is>
          <t>KL Main Store</t>
        </is>
      </c>
      <c r="U11" s="44" t="inlineStr">
        <is>
          <t>Delivery</t>
        </is>
      </c>
      <c r="V11" s="44" t="inlineStr">
        <is>
          <t>CUST-2891</t>
        </is>
      </c>
      <c r="W11" s="44" t="inlineStr">
        <is>
          <t>Sarah Chen</t>
        </is>
      </c>
      <c r="X11" s="44" t="n"/>
      <c r="Y11" s="44" t="inlineStr">
        <is>
          <t>set</t>
        </is>
      </c>
      <c r="Z11" s="48" t="n">
        <v>1</v>
      </c>
      <c r="AA11" s="44" t="n"/>
      <c r="AB11" s="44" t="inlineStr">
        <is>
          <t>ITEM</t>
        </is>
      </c>
      <c r="AC11" s="45" t="n">
        <v>0</v>
      </c>
      <c r="AD11" s="44" t="inlineStr">
        <is>
          <t>Online Order</t>
        </is>
      </c>
      <c r="AE11" s="44" t="n"/>
      <c r="AF11" s="44" t="inlineStr">
        <is>
          <t>Online Store</t>
        </is>
      </c>
      <c r="AG11" s="44" t="inlineStr">
        <is>
          <t>TKN-006</t>
        </is>
      </c>
    </row>
    <row r="12" ht="15" customHeight="1" s="33">
      <c r="A12" s="44" t="inlineStr">
        <is>
          <t>2026-04-20</t>
        </is>
      </c>
      <c r="B12" s="44" t="inlineStr">
        <is>
          <t>14:05:47</t>
        </is>
      </c>
      <c r="C12" s="44" t="inlineStr">
        <is>
          <t>Asia/Kuala_Lumpur</t>
        </is>
      </c>
      <c r="D12" s="44" t="inlineStr">
        <is>
          <t>Beverages</t>
        </is>
      </c>
      <c r="E12" s="44" t="inlineStr">
        <is>
          <t>Iced Latte</t>
        </is>
      </c>
      <c r="F12" s="48" t="n">
        <v>2</v>
      </c>
      <c r="G12" s="44" t="inlineStr">
        <is>
          <t>Regular</t>
        </is>
      </c>
      <c r="H12" s="44" t="inlineStr">
        <is>
          <t>BEV-LAT-R</t>
        </is>
      </c>
      <c r="I12" s="44" t="n"/>
      <c r="J12" s="45" t="n">
        <v>18</v>
      </c>
      <c r="K12" s="45" t="n">
        <v>0</v>
      </c>
      <c r="L12" s="45" t="n">
        <v>18</v>
      </c>
      <c r="M12" s="45" t="n">
        <v>1.08</v>
      </c>
      <c r="N12" s="44" t="inlineStr">
        <is>
          <t>TXN-D4S6T8U1</t>
        </is>
      </c>
      <c r="O12" s="44" t="inlineStr">
        <is>
          <t>PMT-D4S6T8U1</t>
        </is>
      </c>
      <c r="P12" s="44" t="inlineStr">
        <is>
          <t>iPad - Front Counter</t>
        </is>
      </c>
      <c r="Q12" s="44" t="n"/>
      <c r="R12" s="44" t="n"/>
      <c r="S12" s="44" t="inlineStr">
        <is>
          <t>Payment</t>
        </is>
      </c>
      <c r="T12" s="44" t="inlineStr">
        <is>
          <t>KL Main Store</t>
        </is>
      </c>
      <c r="U12" s="44" t="inlineStr">
        <is>
          <t>Dine in</t>
        </is>
      </c>
      <c r="V12" s="44" t="n"/>
      <c r="W12" s="44" t="n"/>
      <c r="X12" s="44" t="n"/>
      <c r="Y12" s="44" t="inlineStr">
        <is>
          <t>each</t>
        </is>
      </c>
      <c r="Z12" s="48" t="n">
        <v>2</v>
      </c>
      <c r="AA12" s="44" t="n"/>
      <c r="AB12" s="44" t="inlineStr">
        <is>
          <t>ITEM</t>
        </is>
      </c>
      <c r="AC12" s="45" t="n">
        <v>0</v>
      </c>
      <c r="AD12" s="44" t="inlineStr">
        <is>
          <t>Rajesh Kumar</t>
        </is>
      </c>
      <c r="AE12" s="44" t="n"/>
      <c r="AF12" s="44" t="inlineStr">
        <is>
          <t>Point of Sale</t>
        </is>
      </c>
      <c r="AG12" s="44" t="inlineStr">
        <is>
          <t>TKN-007</t>
        </is>
      </c>
    </row>
    <row r="13" ht="15" customHeight="1" s="33">
      <c r="A13" s="44" t="inlineStr">
        <is>
          <t>2026-04-20</t>
        </is>
      </c>
      <c r="B13" s="44" t="inlineStr">
        <is>
          <t>16:22:11</t>
        </is>
      </c>
      <c r="C13" s="44" t="inlineStr">
        <is>
          <t>Asia/Kuala_Lumpur</t>
        </is>
      </c>
      <c r="D13" s="44" t="inlineStr">
        <is>
          <t>Sandwiches</t>
        </is>
      </c>
      <c r="E13" s="44" t="inlineStr">
        <is>
          <t>Club Sandwich</t>
        </is>
      </c>
      <c r="F13" s="48" t="n">
        <v>1</v>
      </c>
      <c r="G13" s="44" t="inlineStr">
        <is>
          <t>Regular</t>
        </is>
      </c>
      <c r="H13" s="44" t="inlineStr">
        <is>
          <t>SND-CLB-R</t>
        </is>
      </c>
      <c r="I13" s="44" t="inlineStr">
        <is>
          <t>Extra cheese +RM3</t>
        </is>
      </c>
      <c r="J13" s="45" t="n">
        <v>35</v>
      </c>
      <c r="K13" s="45" t="n">
        <v>0</v>
      </c>
      <c r="L13" s="45" t="n">
        <v>35</v>
      </c>
      <c r="M13" s="45" t="n">
        <v>2.1</v>
      </c>
      <c r="N13" s="44" t="inlineStr">
        <is>
          <t>TXN-E3V7W2Z9</t>
        </is>
      </c>
      <c r="O13" s="44" t="inlineStr">
        <is>
          <t>PMT-E3V7W2Z9</t>
        </is>
      </c>
      <c r="P13" s="44" t="inlineStr">
        <is>
          <t>iPad - Front Counter</t>
        </is>
      </c>
      <c r="Q13" s="44" t="n"/>
      <c r="R13" s="44" t="n"/>
      <c r="S13" s="44" t="inlineStr">
        <is>
          <t>Payment</t>
        </is>
      </c>
      <c r="T13" s="44" t="inlineStr">
        <is>
          <t>KL Main Store</t>
        </is>
      </c>
      <c r="U13" s="44" t="inlineStr">
        <is>
          <t>Dine in</t>
        </is>
      </c>
      <c r="V13" s="44" t="inlineStr">
        <is>
          <t>CUST-3104</t>
        </is>
      </c>
      <c r="W13" s="44" t="inlineStr">
        <is>
          <t>Daniel Wong</t>
        </is>
      </c>
      <c r="X13" s="44" t="n"/>
      <c r="Y13" s="44" t="inlineStr">
        <is>
          <t>each</t>
        </is>
      </c>
      <c r="Z13" s="48" t="n">
        <v>1</v>
      </c>
      <c r="AA13" s="44" t="n"/>
      <c r="AB13" s="44" t="inlineStr">
        <is>
          <t>ITEM</t>
        </is>
      </c>
      <c r="AC13" s="45" t="n">
        <v>0</v>
      </c>
      <c r="AD13" s="44" t="inlineStr">
        <is>
          <t>Rajesh Kumar</t>
        </is>
      </c>
      <c r="AE13" s="44" t="n"/>
      <c r="AF13" s="44" t="inlineStr">
        <is>
          <t>Point of Sale</t>
        </is>
      </c>
      <c r="AG13" s="44" t="inlineStr">
        <is>
          <t>TKN-008</t>
        </is>
      </c>
    </row>
    <row r="14" ht="15" customHeight="1" s="33">
      <c r="A14" s="44" t="inlineStr">
        <is>
          <t>2026-04-20</t>
        </is>
      </c>
      <c r="B14" s="44" t="inlineStr">
        <is>
          <t>16:22:11</t>
        </is>
      </c>
      <c r="C14" s="44" t="inlineStr">
        <is>
          <t>Asia/Kuala_Lumpur</t>
        </is>
      </c>
      <c r="D14" s="44" t="inlineStr">
        <is>
          <t>Beverages</t>
        </is>
      </c>
      <c r="E14" s="44" t="inlineStr">
        <is>
          <t>Fresh Juice</t>
        </is>
      </c>
      <c r="F14" s="48" t="n">
        <v>2</v>
      </c>
      <c r="G14" s="44" t="inlineStr">
        <is>
          <t>Regular</t>
        </is>
      </c>
      <c r="H14" s="44" t="inlineStr">
        <is>
          <t>BEV-FJU-R</t>
        </is>
      </c>
      <c r="I14" s="44" t="n"/>
      <c r="J14" s="45" t="n">
        <v>30</v>
      </c>
      <c r="K14" s="45" t="n">
        <v>0</v>
      </c>
      <c r="L14" s="45" t="n">
        <v>30</v>
      </c>
      <c r="M14" s="45" t="n">
        <v>1.8</v>
      </c>
      <c r="N14" s="44" t="inlineStr">
        <is>
          <t>TXN-E3V7W2Z9</t>
        </is>
      </c>
      <c r="O14" s="44" t="inlineStr">
        <is>
          <t>PMT-E3V7W2Z9</t>
        </is>
      </c>
      <c r="P14" s="44" t="inlineStr">
        <is>
          <t>iPad - Front Counter</t>
        </is>
      </c>
      <c r="Q14" s="44" t="n"/>
      <c r="R14" s="44" t="n"/>
      <c r="S14" s="44" t="inlineStr">
        <is>
          <t>Payment</t>
        </is>
      </c>
      <c r="T14" s="44" t="inlineStr">
        <is>
          <t>KL Main Store</t>
        </is>
      </c>
      <c r="U14" s="44" t="inlineStr">
        <is>
          <t>Dine in</t>
        </is>
      </c>
      <c r="V14" s="44" t="inlineStr">
        <is>
          <t>CUST-3104</t>
        </is>
      </c>
      <c r="W14" s="44" t="inlineStr">
        <is>
          <t>Daniel Wong</t>
        </is>
      </c>
      <c r="X14" s="44" t="n"/>
      <c r="Y14" s="44" t="inlineStr">
        <is>
          <t>each</t>
        </is>
      </c>
      <c r="Z14" s="48" t="n">
        <v>2</v>
      </c>
      <c r="AA14" s="44" t="n"/>
      <c r="AB14" s="44" t="inlineStr">
        <is>
          <t>ITEM</t>
        </is>
      </c>
      <c r="AC14" s="45" t="n">
        <v>0</v>
      </c>
      <c r="AD14" s="44" t="inlineStr">
        <is>
          <t>Rajesh Kumar</t>
        </is>
      </c>
      <c r="AE14" s="44" t="n"/>
      <c r="AF14" s="44" t="inlineStr">
        <is>
          <t>Point of Sale</t>
        </is>
      </c>
      <c r="AG14" s="44" t="inlineStr">
        <is>
          <t>TKN-009</t>
        </is>
      </c>
    </row>
    <row r="15" ht="15" customHeight="1" s="33">
      <c r="A15" s="46" t="inlineStr">
        <is>
          <t>TOTAL</t>
        </is>
      </c>
      <c r="B15" s="44" t="n"/>
      <c r="C15" s="44" t="n"/>
      <c r="D15" s="44" t="n"/>
      <c r="E15" s="44" t="n"/>
      <c r="F15" s="49">
        <f>SUM(F6:F14)</f>
        <v/>
      </c>
      <c r="G15" s="44" t="n"/>
      <c r="H15" s="44" t="n"/>
      <c r="I15" s="44" t="n"/>
      <c r="J15" s="47">
        <f>SUM(J6:J14)</f>
        <v/>
      </c>
      <c r="K15" s="47">
        <f>SUM(K6:K14)</f>
        <v/>
      </c>
      <c r="L15" s="47">
        <f>SUM(L6:L14)</f>
        <v/>
      </c>
      <c r="M15" s="47">
        <f>SUM(M6:M14)</f>
        <v/>
      </c>
      <c r="N15" s="44" t="n"/>
      <c r="O15" s="44" t="n"/>
      <c r="P15" s="44" t="n"/>
      <c r="Q15" s="44" t="n"/>
      <c r="R15" s="44" t="n"/>
      <c r="S15" s="44" t="n"/>
      <c r="T15" s="44" t="n"/>
      <c r="U15" s="44" t="n"/>
      <c r="V15" s="44" t="n"/>
      <c r="W15" s="44" t="n"/>
      <c r="X15" s="44" t="n"/>
      <c r="Y15" s="44" t="n"/>
      <c r="Z15" s="49">
        <f>SUM(Z6:Z14)</f>
        <v/>
      </c>
      <c r="AA15" s="44" t="n"/>
      <c r="AB15" s="44" t="n"/>
      <c r="AC15" s="47">
        <f>SUM(AC6:AC14)</f>
        <v/>
      </c>
      <c r="AD15" s="44" t="n"/>
      <c r="AE15" s="44" t="n"/>
      <c r="AF15" s="44" t="n"/>
      <c r="AG15" s="4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O15"/>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2" customWidth="1" style="32" min="1" max="1"/>
    <col width="14" customWidth="1" style="32" min="2" max="4"/>
    <col width="11" customWidth="1" style="32" min="5" max="5"/>
    <col width="12" customWidth="1" style="32" min="6" max="6"/>
    <col width="13" customWidth="1" style="32" min="7" max="7"/>
    <col width="10" customWidth="1" style="32" min="8" max="8"/>
    <col width="16" customWidth="1" style="32" min="9" max="9"/>
    <col width="11" customWidth="1" style="32" min="10" max="10"/>
    <col width="9" customWidth="1" style="32" min="11" max="11"/>
    <col width="8" customWidth="1" style="32" min="12" max="12"/>
    <col width="11" customWidth="1" style="32" min="13" max="13"/>
    <col width="13" customWidth="1" style="32" min="14" max="14"/>
    <col width="16" customWidth="1" style="32" min="15" max="15"/>
  </cols>
  <sheetData>
    <row r="1" ht="17.35" customHeight="1" s="33">
      <c r="A1" s="34" t="inlineStr">
        <is>
          <t>Square — Items Summary CSV</t>
        </is>
      </c>
    </row>
    <row r="2" ht="15" customHeight="1" s="33">
      <c r="A2" s="35" t="inlineStr">
        <is>
          <t>Square Dashboard › Transactions › Export › Summary CSV. One row per item-variation across the period.</t>
        </is>
      </c>
    </row>
    <row r="3" ht="15" customHeight="1" s="33">
      <c r="A3" s="42" t="inlineStr">
        <is>
          <t>VERIFIED — Column names confirmed against an actual export by a Square Champion (community.squareup.com, April 2025).</t>
        </is>
      </c>
    </row>
    <row r="5" ht="30" customHeight="1" s="33">
      <c r="A5" s="43" t="inlineStr">
        <is>
          <t>Item Name</t>
        </is>
      </c>
      <c r="B5" s="43" t="inlineStr">
        <is>
          <t>Item Variation</t>
        </is>
      </c>
      <c r="C5" s="43" t="inlineStr">
        <is>
          <t>SKU</t>
        </is>
      </c>
      <c r="D5" s="43" t="inlineStr">
        <is>
          <t>Category</t>
        </is>
      </c>
      <c r="E5" s="43" t="inlineStr">
        <is>
          <t>Items Sold</t>
        </is>
      </c>
      <c r="F5" s="43" t="inlineStr">
        <is>
          <t>Gross Sales</t>
        </is>
      </c>
      <c r="G5" s="43" t="inlineStr">
        <is>
          <t>Items Refunded</t>
        </is>
      </c>
      <c r="H5" s="43" t="inlineStr">
        <is>
          <t>Refunds</t>
        </is>
      </c>
      <c r="I5" s="43" t="inlineStr">
        <is>
          <t>Discounts &amp; Comps</t>
        </is>
      </c>
      <c r="J5" s="43" t="inlineStr">
        <is>
          <t>Net Sales</t>
        </is>
      </c>
      <c r="K5" s="43" t="inlineStr">
        <is>
          <t>Tax</t>
        </is>
      </c>
      <c r="L5" s="43" t="inlineStr">
        <is>
          <t>Unit</t>
        </is>
      </c>
      <c r="M5" s="43" t="inlineStr">
        <is>
          <t>Units Sold</t>
        </is>
      </c>
      <c r="N5" s="43" t="inlineStr">
        <is>
          <t>Units Refunded</t>
        </is>
      </c>
      <c r="O5" s="43" t="inlineStr">
        <is>
          <t>GTIN</t>
        </is>
      </c>
    </row>
    <row r="6" ht="15" customHeight="1" s="33">
      <c r="A6" s="44" t="inlineStr">
        <is>
          <t>Cappuccino</t>
        </is>
      </c>
      <c r="B6" s="44" t="inlineStr">
        <is>
          <t>Regular</t>
        </is>
      </c>
      <c r="C6" s="44" t="inlineStr">
        <is>
          <t>BEV-CAP-R</t>
        </is>
      </c>
      <c r="D6" s="44" t="inlineStr">
        <is>
          <t>Beverages</t>
        </is>
      </c>
      <c r="E6" s="48" t="n">
        <v>1</v>
      </c>
      <c r="F6" s="45" t="n">
        <v>18</v>
      </c>
      <c r="G6" s="48" t="n">
        <v>0</v>
      </c>
      <c r="H6" s="45" t="n">
        <v>0</v>
      </c>
      <c r="I6" s="45" t="n">
        <v>0</v>
      </c>
      <c r="J6" s="45" t="n">
        <v>18</v>
      </c>
      <c r="K6" s="45" t="n">
        <v>1.08</v>
      </c>
      <c r="L6" s="44" t="inlineStr">
        <is>
          <t>each</t>
        </is>
      </c>
      <c r="M6" s="48" t="n">
        <v>1</v>
      </c>
      <c r="N6" s="48" t="n">
        <v>0</v>
      </c>
      <c r="O6" s="44" t="n"/>
    </row>
    <row r="7" ht="15" customHeight="1" s="33">
      <c r="A7" s="44" t="inlineStr">
        <is>
          <t>Iced Latte</t>
        </is>
      </c>
      <c r="B7" s="44" t="inlineStr">
        <is>
          <t>Regular</t>
        </is>
      </c>
      <c r="C7" s="44" t="inlineStr">
        <is>
          <t>BEV-LAT-R</t>
        </is>
      </c>
      <c r="D7" s="44" t="inlineStr">
        <is>
          <t>Beverages</t>
        </is>
      </c>
      <c r="E7" s="48" t="n">
        <v>2</v>
      </c>
      <c r="F7" s="45" t="n">
        <v>18</v>
      </c>
      <c r="G7" s="48" t="n">
        <v>0</v>
      </c>
      <c r="H7" s="45" t="n">
        <v>0</v>
      </c>
      <c r="I7" s="45" t="n">
        <v>0</v>
      </c>
      <c r="J7" s="45" t="n">
        <v>18</v>
      </c>
      <c r="K7" s="45" t="n">
        <v>1.08</v>
      </c>
      <c r="L7" s="44" t="inlineStr">
        <is>
          <t>each</t>
        </is>
      </c>
      <c r="M7" s="48" t="n">
        <v>2</v>
      </c>
      <c r="N7" s="48" t="n">
        <v>0</v>
      </c>
      <c r="O7" s="44" t="n"/>
    </row>
    <row r="8" ht="15" customHeight="1" s="33">
      <c r="A8" s="44" t="inlineStr">
        <is>
          <t>Iced Latte</t>
        </is>
      </c>
      <c r="B8" s="44" t="inlineStr">
        <is>
          <t>Large</t>
        </is>
      </c>
      <c r="C8" s="44" t="inlineStr">
        <is>
          <t>BEV-LAT-L</t>
        </is>
      </c>
      <c r="D8" s="44" t="inlineStr">
        <is>
          <t>Beverages</t>
        </is>
      </c>
      <c r="E8" s="48" t="n">
        <v>1</v>
      </c>
      <c r="F8" s="45" t="n">
        <v>15</v>
      </c>
      <c r="G8" s="48" t="n">
        <v>0</v>
      </c>
      <c r="H8" s="45" t="n">
        <v>0</v>
      </c>
      <c r="I8" s="45" t="n">
        <v>0</v>
      </c>
      <c r="J8" s="45" t="n">
        <v>15</v>
      </c>
      <c r="K8" s="45" t="n">
        <v>0.9</v>
      </c>
      <c r="L8" s="44" t="inlineStr">
        <is>
          <t>each</t>
        </is>
      </c>
      <c r="M8" s="48" t="n">
        <v>1</v>
      </c>
      <c r="N8" s="48" t="n">
        <v>0</v>
      </c>
      <c r="O8" s="44" t="n"/>
    </row>
    <row r="9" ht="15" customHeight="1" s="33">
      <c r="A9" s="44" t="inlineStr">
        <is>
          <t>Almond Croissant</t>
        </is>
      </c>
      <c r="B9" s="44" t="n"/>
      <c r="C9" s="44" t="inlineStr">
        <is>
          <t>PST-ALM-001</t>
        </is>
      </c>
      <c r="D9" s="44" t="inlineStr">
        <is>
          <t>Pastries</t>
        </is>
      </c>
      <c r="E9" s="48" t="n">
        <v>1</v>
      </c>
      <c r="F9" s="45" t="n">
        <v>12</v>
      </c>
      <c r="G9" s="48" t="n">
        <v>0</v>
      </c>
      <c r="H9" s="45" t="n">
        <v>0</v>
      </c>
      <c r="I9" s="45" t="n">
        <v>0</v>
      </c>
      <c r="J9" s="45" t="n">
        <v>12</v>
      </c>
      <c r="K9" s="45" t="n">
        <v>0.72</v>
      </c>
      <c r="L9" s="44" t="inlineStr">
        <is>
          <t>each</t>
        </is>
      </c>
      <c r="M9" s="48" t="n">
        <v>1</v>
      </c>
      <c r="N9" s="48" t="n">
        <v>0</v>
      </c>
      <c r="O9" s="44" t="inlineStr">
        <is>
          <t>8901234567890</t>
        </is>
      </c>
    </row>
    <row r="10" ht="15" customHeight="1" s="33">
      <c r="A10" s="44" t="inlineStr">
        <is>
          <t>Chicken Rice Set</t>
        </is>
      </c>
      <c r="B10" s="44" t="inlineStr">
        <is>
          <t>Regular</t>
        </is>
      </c>
      <c r="C10" s="44" t="inlineStr">
        <is>
          <t>LUN-CRS-001</t>
        </is>
      </c>
      <c r="D10" s="44" t="inlineStr">
        <is>
          <t>Lunch Sets</t>
        </is>
      </c>
      <c r="E10" s="48" t="n">
        <v>1</v>
      </c>
      <c r="F10" s="45" t="n">
        <v>25</v>
      </c>
      <c r="G10" s="48" t="n">
        <v>0</v>
      </c>
      <c r="H10" s="45" t="n">
        <v>0</v>
      </c>
      <c r="I10" s="45" t="n">
        <v>2.5</v>
      </c>
      <c r="J10" s="45" t="n">
        <v>22.5</v>
      </c>
      <c r="K10" s="45" t="n">
        <v>1.35</v>
      </c>
      <c r="L10" s="44" t="inlineStr">
        <is>
          <t>each</t>
        </is>
      </c>
      <c r="M10" s="48" t="n">
        <v>1</v>
      </c>
      <c r="N10" s="48" t="n">
        <v>0</v>
      </c>
      <c r="O10" s="44" t="n"/>
    </row>
    <row r="11" ht="15" customHeight="1" s="33">
      <c r="A11" s="44" t="inlineStr">
        <is>
          <t>Soft Drink</t>
        </is>
      </c>
      <c r="B11" s="44" t="inlineStr">
        <is>
          <t>Can</t>
        </is>
      </c>
      <c r="C11" s="44" t="inlineStr">
        <is>
          <t>BEV-SFD-C</t>
        </is>
      </c>
      <c r="D11" s="44" t="inlineStr">
        <is>
          <t>Beverages</t>
        </is>
      </c>
      <c r="E11" s="48" t="n">
        <v>1</v>
      </c>
      <c r="F11" s="45" t="n">
        <v>3.5</v>
      </c>
      <c r="G11" s="48" t="n">
        <v>0</v>
      </c>
      <c r="H11" s="45" t="n">
        <v>0</v>
      </c>
      <c r="I11" s="45" t="n">
        <v>0</v>
      </c>
      <c r="J11" s="45" t="n">
        <v>3.5</v>
      </c>
      <c r="K11" s="45" t="n">
        <v>0.21</v>
      </c>
      <c r="L11" s="44" t="inlineStr">
        <is>
          <t>each</t>
        </is>
      </c>
      <c r="M11" s="48" t="n">
        <v>1</v>
      </c>
      <c r="N11" s="48" t="n">
        <v>0</v>
      </c>
      <c r="O11" s="44" t="n"/>
    </row>
    <row r="12" ht="15" customHeight="1" s="33">
      <c r="A12" s="44" t="inlineStr">
        <is>
          <t>Family Combo A</t>
        </is>
      </c>
      <c r="B12" s="44" t="inlineStr">
        <is>
          <t>Set for 4</t>
        </is>
      </c>
      <c r="C12" s="44" t="inlineStr">
        <is>
          <t>FAM-COMA</t>
        </is>
      </c>
      <c r="D12" s="44" t="inlineStr">
        <is>
          <t>Family Meals</t>
        </is>
      </c>
      <c r="E12" s="48" t="n">
        <v>1</v>
      </c>
      <c r="F12" s="45" t="n">
        <v>120</v>
      </c>
      <c r="G12" s="48" t="n">
        <v>0</v>
      </c>
      <c r="H12" s="45" t="n">
        <v>0</v>
      </c>
      <c r="I12" s="45" t="n">
        <v>0</v>
      </c>
      <c r="J12" s="45" t="n">
        <v>120</v>
      </c>
      <c r="K12" s="45" t="n">
        <v>7.92</v>
      </c>
      <c r="L12" s="44" t="inlineStr">
        <is>
          <t>set</t>
        </is>
      </c>
      <c r="M12" s="48" t="n">
        <v>1</v>
      </c>
      <c r="N12" s="48" t="n">
        <v>0</v>
      </c>
      <c r="O12" s="44" t="n"/>
    </row>
    <row r="13" ht="15" customHeight="1" s="33">
      <c r="A13" s="44" t="inlineStr">
        <is>
          <t>Club Sandwich</t>
        </is>
      </c>
      <c r="B13" s="44" t="inlineStr">
        <is>
          <t>Regular</t>
        </is>
      </c>
      <c r="C13" s="44" t="inlineStr">
        <is>
          <t>SND-CLB-R</t>
        </is>
      </c>
      <c r="D13" s="44" t="inlineStr">
        <is>
          <t>Sandwiches</t>
        </is>
      </c>
      <c r="E13" s="48" t="n">
        <v>1</v>
      </c>
      <c r="F13" s="45" t="n">
        <v>35</v>
      </c>
      <c r="G13" s="48" t="n">
        <v>0</v>
      </c>
      <c r="H13" s="45" t="n">
        <v>0</v>
      </c>
      <c r="I13" s="45" t="n">
        <v>0</v>
      </c>
      <c r="J13" s="45" t="n">
        <v>35</v>
      </c>
      <c r="K13" s="45" t="n">
        <v>2.1</v>
      </c>
      <c r="L13" s="44" t="inlineStr">
        <is>
          <t>each</t>
        </is>
      </c>
      <c r="M13" s="48" t="n">
        <v>1</v>
      </c>
      <c r="N13" s="48" t="n">
        <v>0</v>
      </c>
      <c r="O13" s="44" t="n"/>
    </row>
    <row r="14" ht="15" customHeight="1" s="33">
      <c r="A14" s="44" t="inlineStr">
        <is>
          <t>Fresh Juice</t>
        </is>
      </c>
      <c r="B14" s="44" t="inlineStr">
        <is>
          <t>Regular</t>
        </is>
      </c>
      <c r="C14" s="44" t="inlineStr">
        <is>
          <t>BEV-FJU-R</t>
        </is>
      </c>
      <c r="D14" s="44" t="inlineStr">
        <is>
          <t>Beverages</t>
        </is>
      </c>
      <c r="E14" s="48" t="n">
        <v>2</v>
      </c>
      <c r="F14" s="45" t="n">
        <v>30</v>
      </c>
      <c r="G14" s="48" t="n">
        <v>0</v>
      </c>
      <c r="H14" s="45" t="n">
        <v>0</v>
      </c>
      <c r="I14" s="45" t="n">
        <v>0</v>
      </c>
      <c r="J14" s="45" t="n">
        <v>30</v>
      </c>
      <c r="K14" s="45" t="n">
        <v>1.8</v>
      </c>
      <c r="L14" s="44" t="inlineStr">
        <is>
          <t>each</t>
        </is>
      </c>
      <c r="M14" s="48" t="n">
        <v>2</v>
      </c>
      <c r="N14" s="48" t="n">
        <v>0</v>
      </c>
      <c r="O14" s="44" t="n"/>
    </row>
    <row r="15" ht="15" customHeight="1" s="33">
      <c r="A15" s="46" t="inlineStr">
        <is>
          <t>TOTAL</t>
        </is>
      </c>
      <c r="B15" s="44" t="n"/>
      <c r="C15" s="44" t="n"/>
      <c r="D15" s="44" t="n"/>
      <c r="E15" s="49">
        <f>SUM(E6:E14)</f>
        <v/>
      </c>
      <c r="F15" s="47">
        <f>SUM(F6:F14)</f>
        <v/>
      </c>
      <c r="G15" s="49">
        <f>SUM(G6:G14)</f>
        <v/>
      </c>
      <c r="H15" s="47">
        <f>SUM(H6:H14)</f>
        <v/>
      </c>
      <c r="I15" s="47">
        <f>SUM(I6:I14)</f>
        <v/>
      </c>
      <c r="J15" s="47">
        <f>SUM(J6:J14)</f>
        <v/>
      </c>
      <c r="K15" s="47">
        <f>SUM(K6:K14)</f>
        <v/>
      </c>
      <c r="L15" s="44" t="n"/>
      <c r="M15" s="49">
        <f>SUM(M6:M14)</f>
        <v/>
      </c>
      <c r="N15" s="49">
        <f>SUM(N6:N14)</f>
        <v/>
      </c>
      <c r="O15" s="4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O17"/>
  <sheetViews>
    <sheetView showFormulas="0" showGridLines="1"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18" customWidth="1" style="32" min="1" max="1"/>
    <col width="14" customWidth="1" style="32" min="2" max="2"/>
    <col width="13" customWidth="1" style="32" min="3" max="3"/>
    <col width="12" customWidth="1" style="32" min="4" max="4"/>
    <col width="11" customWidth="1" style="32" min="5" max="6"/>
    <col width="9" customWidth="1" style="32" min="7" max="7"/>
    <col width="14" customWidth="1" style="32" min="8" max="8"/>
    <col width="13" customWidth="1" style="32" min="9" max="9"/>
    <col width="14" customWidth="1" style="32" min="10" max="10"/>
    <col width="18" customWidth="1" style="32" min="11" max="11"/>
    <col width="16" customWidth="1" style="32" min="12" max="13"/>
    <col width="12" customWidth="1" style="32" min="14" max="14"/>
    <col width="18" customWidth="1" style="32" min="15" max="15"/>
  </cols>
  <sheetData>
    <row r="1" ht="17.35" customHeight="1" s="33">
      <c r="A1" s="34" t="inlineStr">
        <is>
          <t>Loyverse — Receipts Export</t>
        </is>
      </c>
    </row>
    <row r="2" ht="15" customHeight="1" s="33">
      <c r="A2" s="35" t="inlineStr">
        <is>
          <t>Loyverse Back Office › Reports › Receipts › Export › "Receipts". One row per receipt.</t>
        </is>
      </c>
    </row>
    <row r="3" ht="15" customHeight="1" s="33">
      <c r="A3" s="50" t="inlineStr">
        <is>
          <t>INFERRED — Column names based on documented field concepts (help.loyverse.com). Exact CSV header strings/order NOT verified.</t>
        </is>
      </c>
    </row>
    <row r="5" ht="30" customHeight="1" s="33">
      <c r="A5" s="51" t="inlineStr">
        <is>
          <t>Date</t>
        </is>
      </c>
      <c r="B5" s="51" t="inlineStr">
        <is>
          <t>Receipt number</t>
        </is>
      </c>
      <c r="C5" s="51" t="inlineStr">
        <is>
          <t>Receipt type</t>
        </is>
      </c>
      <c r="D5" s="51" t="inlineStr">
        <is>
          <t>Total</t>
        </is>
      </c>
      <c r="E5" s="51" t="inlineStr">
        <is>
          <t>Discount</t>
        </is>
      </c>
      <c r="F5" s="51" t="inlineStr">
        <is>
          <t>Taxes</t>
        </is>
      </c>
      <c r="G5" s="51" t="inlineStr">
        <is>
          <t>Tips</t>
        </is>
      </c>
      <c r="H5" s="51" t="inlineStr">
        <is>
          <t>Cost of goods</t>
        </is>
      </c>
      <c r="I5" s="51" t="inlineStr">
        <is>
          <t>Gross profit</t>
        </is>
      </c>
      <c r="J5" s="51" t="inlineStr">
        <is>
          <t>Payment type</t>
        </is>
      </c>
      <c r="K5" s="51" t="inlineStr">
        <is>
          <t>Customer</t>
        </is>
      </c>
      <c r="L5" s="51" t="inlineStr">
        <is>
          <t>Cashier name</t>
        </is>
      </c>
      <c r="M5" s="51" t="inlineStr">
        <is>
          <t>Store</t>
        </is>
      </c>
      <c r="N5" s="51" t="inlineStr">
        <is>
          <t>POS</t>
        </is>
      </c>
      <c r="O5" s="51" t="inlineStr">
        <is>
          <t>Comment</t>
        </is>
      </c>
    </row>
    <row r="6" ht="15" customHeight="1" s="33">
      <c r="A6" s="44" t="inlineStr">
        <is>
          <t>2026-04-20 09:42</t>
        </is>
      </c>
      <c r="B6" s="44" t="inlineStr">
        <is>
          <t>1-1042</t>
        </is>
      </c>
      <c r="C6" s="44" t="inlineStr">
        <is>
          <t>Sale</t>
        </is>
      </c>
      <c r="D6" s="45" t="n">
        <v>47.7</v>
      </c>
      <c r="E6" s="45" t="n">
        <v>0</v>
      </c>
      <c r="F6" s="45" t="n">
        <v>2.7</v>
      </c>
      <c r="G6" s="45" t="n">
        <v>0</v>
      </c>
      <c r="H6" s="45" t="n">
        <v>12.5</v>
      </c>
      <c r="I6" s="45" t="n">
        <v>32.5</v>
      </c>
      <c r="J6" s="44" t="inlineStr">
        <is>
          <t>Card</t>
        </is>
      </c>
      <c r="K6" s="44" t="inlineStr">
        <is>
          <t>Lim Wei Ming</t>
        </is>
      </c>
      <c r="L6" s="44" t="inlineStr">
        <is>
          <t>Aisha Tan</t>
        </is>
      </c>
      <c r="M6" s="44" t="inlineStr">
        <is>
          <t>KL Main Store</t>
        </is>
      </c>
      <c r="N6" s="44" t="inlineStr">
        <is>
          <t>POS 1</t>
        </is>
      </c>
      <c r="O6" s="44" t="n"/>
    </row>
    <row r="7" ht="15" customHeight="1" s="33">
      <c r="A7" s="44" t="inlineStr">
        <is>
          <t>2026-04-20 10:15</t>
        </is>
      </c>
      <c r="B7" s="44" t="inlineStr">
        <is>
          <t>1-1043</t>
        </is>
      </c>
      <c r="C7" s="44" t="inlineStr">
        <is>
          <t>Sale</t>
        </is>
      </c>
      <c r="D7" s="45" t="n">
        <v>27.56</v>
      </c>
      <c r="E7" s="45" t="n">
        <v>2.5</v>
      </c>
      <c r="F7" s="45" t="n">
        <v>1.56</v>
      </c>
      <c r="G7" s="45" t="n">
        <v>0</v>
      </c>
      <c r="H7" s="45" t="n">
        <v>9.800000000000001</v>
      </c>
      <c r="I7" s="45" t="n">
        <v>16.2</v>
      </c>
      <c r="J7" s="44" t="inlineStr">
        <is>
          <t>Cash</t>
        </is>
      </c>
      <c r="K7" s="44" t="n"/>
      <c r="L7" s="44" t="inlineStr">
        <is>
          <t>Aisha Tan</t>
        </is>
      </c>
      <c r="M7" s="44" t="inlineStr">
        <is>
          <t>KL Main Store</t>
        </is>
      </c>
      <c r="N7" s="44" t="inlineStr">
        <is>
          <t>POS 1</t>
        </is>
      </c>
      <c r="O7" s="44" t="inlineStr">
        <is>
          <t>10% promo</t>
        </is>
      </c>
    </row>
    <row r="8" ht="15" customHeight="1" s="33">
      <c r="A8" s="44" t="inlineStr">
        <is>
          <t>2026-04-20 12:30</t>
        </is>
      </c>
      <c r="B8" s="44" t="inlineStr">
        <is>
          <t>1-1044</t>
        </is>
      </c>
      <c r="C8" s="44" t="inlineStr">
        <is>
          <t>Sale</t>
        </is>
      </c>
      <c r="D8" s="45" t="n">
        <v>154.92</v>
      </c>
      <c r="E8" s="45" t="n">
        <v>0</v>
      </c>
      <c r="F8" s="45" t="n">
        <v>7.92</v>
      </c>
      <c r="G8" s="45" t="n">
        <v>15</v>
      </c>
      <c r="H8" s="45" t="n">
        <v>38</v>
      </c>
      <c r="I8" s="45" t="n">
        <v>82</v>
      </c>
      <c r="J8" s="44" t="inlineStr">
        <is>
          <t>Card</t>
        </is>
      </c>
      <c r="K8" s="44" t="inlineStr">
        <is>
          <t>Sarah Chen</t>
        </is>
      </c>
      <c r="L8" s="44" t="inlineStr">
        <is>
          <t>Online Order</t>
        </is>
      </c>
      <c r="M8" s="44" t="inlineStr">
        <is>
          <t>KL Main Store</t>
        </is>
      </c>
      <c r="N8" s="44" t="inlineStr">
        <is>
          <t>POS Online</t>
        </is>
      </c>
      <c r="O8" s="44" t="inlineStr">
        <is>
          <t>Birthday note</t>
        </is>
      </c>
    </row>
    <row r="9" ht="15" customHeight="1" s="33">
      <c r="A9" s="44" t="inlineStr">
        <is>
          <t>2026-04-20 14:05</t>
        </is>
      </c>
      <c r="B9" s="44" t="inlineStr">
        <is>
          <t>1-1045</t>
        </is>
      </c>
      <c r="C9" s="44" t="inlineStr">
        <is>
          <t>Sale</t>
        </is>
      </c>
      <c r="D9" s="45" t="n">
        <v>19.08</v>
      </c>
      <c r="E9" s="45" t="n">
        <v>0</v>
      </c>
      <c r="F9" s="45" t="n">
        <v>1.08</v>
      </c>
      <c r="G9" s="45" t="n">
        <v>0</v>
      </c>
      <c r="H9" s="45" t="n">
        <v>5.4</v>
      </c>
      <c r="I9" s="45" t="n">
        <v>12.6</v>
      </c>
      <c r="J9" s="44" t="inlineStr">
        <is>
          <t>Cash</t>
        </is>
      </c>
      <c r="K9" s="44" t="n"/>
      <c r="L9" s="44" t="inlineStr">
        <is>
          <t>Rajesh Kumar</t>
        </is>
      </c>
      <c r="M9" s="44" t="inlineStr">
        <is>
          <t>KL Main Store</t>
        </is>
      </c>
      <c r="N9" s="44" t="inlineStr">
        <is>
          <t>POS 1</t>
        </is>
      </c>
      <c r="O9" s="44" t="n"/>
    </row>
    <row r="10" ht="15" customHeight="1" s="33">
      <c r="A10" s="44" t="inlineStr">
        <is>
          <t>2026-04-20 16:22</t>
        </is>
      </c>
      <c r="B10" s="44" t="inlineStr">
        <is>
          <t>1-1046</t>
        </is>
      </c>
      <c r="C10" s="44" t="inlineStr">
        <is>
          <t>Sale</t>
        </is>
      </c>
      <c r="D10" s="45" t="n">
        <v>73.90000000000001</v>
      </c>
      <c r="E10" s="45" t="n">
        <v>0</v>
      </c>
      <c r="F10" s="45" t="n">
        <v>3.9</v>
      </c>
      <c r="G10" s="45" t="n">
        <v>5</v>
      </c>
      <c r="H10" s="45" t="n">
        <v>21</v>
      </c>
      <c r="I10" s="45" t="n">
        <v>44</v>
      </c>
      <c r="J10" s="44" t="inlineStr">
        <is>
          <t>Card</t>
        </is>
      </c>
      <c r="K10" s="44" t="inlineStr">
        <is>
          <t>Daniel Wong</t>
        </is>
      </c>
      <c r="L10" s="44" t="inlineStr">
        <is>
          <t>Rajesh Kumar</t>
        </is>
      </c>
      <c r="M10" s="44" t="inlineStr">
        <is>
          <t>KL Main Store</t>
        </is>
      </c>
      <c r="N10" s="44" t="inlineStr">
        <is>
          <t>POS 1</t>
        </is>
      </c>
      <c r="O10" s="44" t="n"/>
    </row>
    <row r="11" ht="15" customHeight="1" s="33">
      <c r="A11" s="44" t="inlineStr">
        <is>
          <t>2026-04-20 17:45</t>
        </is>
      </c>
      <c r="B11" s="44" t="inlineStr">
        <is>
          <t>1-1042-R</t>
        </is>
      </c>
      <c r="C11" s="44" t="inlineStr">
        <is>
          <t>Refund</t>
        </is>
      </c>
      <c r="D11" s="45" t="n">
        <v>-47.7</v>
      </c>
      <c r="E11" s="45" t="n">
        <v>0</v>
      </c>
      <c r="F11" s="45" t="n">
        <v>-2.7</v>
      </c>
      <c r="G11" s="45" t="n">
        <v>0</v>
      </c>
      <c r="H11" s="45" t="n">
        <v>-12.5</v>
      </c>
      <c r="I11" s="45" t="n">
        <v>-32.5</v>
      </c>
      <c r="J11" s="44" t="inlineStr">
        <is>
          <t>Card</t>
        </is>
      </c>
      <c r="K11" s="44" t="inlineStr">
        <is>
          <t>Lim Wei Ming</t>
        </is>
      </c>
      <c r="L11" s="44" t="inlineStr">
        <is>
          <t>Aisha Tan</t>
        </is>
      </c>
      <c r="M11" s="44" t="inlineStr">
        <is>
          <t>KL Main Store</t>
        </is>
      </c>
      <c r="N11" s="44" t="inlineStr">
        <is>
          <t>POS 1</t>
        </is>
      </c>
      <c r="O11" s="44" t="inlineStr">
        <is>
          <t>Wrong order</t>
        </is>
      </c>
    </row>
    <row r="12" ht="15" customHeight="1" s="33">
      <c r="A12" s="46" t="inlineStr">
        <is>
          <t>TOTAL</t>
        </is>
      </c>
      <c r="B12" s="44" t="n"/>
      <c r="C12" s="44" t="n"/>
      <c r="D12" s="47">
        <f>SUM(D6:D11)</f>
        <v/>
      </c>
      <c r="E12" s="47">
        <f>SUM(E6:E11)</f>
        <v/>
      </c>
      <c r="F12" s="47">
        <f>SUM(F6:F11)</f>
        <v/>
      </c>
      <c r="G12" s="47">
        <f>SUM(G6:G11)</f>
        <v/>
      </c>
      <c r="H12" s="47">
        <f>SUM(H6:H11)</f>
        <v/>
      </c>
      <c r="I12" s="47">
        <f>SUM(I6:I11)</f>
        <v/>
      </c>
      <c r="J12" s="44" t="n"/>
      <c r="K12" s="44" t="n"/>
      <c r="L12" s="44" t="n"/>
      <c r="M12" s="44" t="n"/>
      <c r="N12" s="44" t="n"/>
      <c r="O12" s="44" t="n"/>
    </row>
    <row r="14" ht="15" customHeight="1" s="33">
      <c r="A14" s="52" t="inlineStr">
        <is>
          <t>⚠ VERIFICATION NOTE</t>
        </is>
      </c>
    </row>
    <row r="15" ht="15" customHeight="1" s="33">
      <c r="A15" s="35" t="inlineStr">
        <is>
          <t>Loyverse documentation (help.loyverse.com) describes which fields the Receipts export contains, but the exact CSV column header text and ordering</t>
        </is>
      </c>
    </row>
    <row r="16" ht="15" customHeight="1" s="33">
      <c r="A16" s="35" t="inlineStr">
        <is>
          <t>have not been independently verified against an actual export. Header names here may differ slightly from your real export. Please confirm with one real export before</t>
        </is>
      </c>
    </row>
    <row r="17" ht="15" customHeight="1" s="33">
      <c r="A17" s="35" t="inlineStr">
        <is>
          <t>using this for any automated import or accounting workflow.</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T15"/>
  <sheetViews>
    <sheetView showFormulas="0" showGridLines="1" showRowColHeaders="1" showZeros="1" rightToLeft="0" tabSelected="0" showOutlineSymbols="1" defaultGridColor="1"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18" customWidth="1" style="32" min="1" max="1"/>
    <col width="14" customWidth="1" style="32" min="2" max="2"/>
    <col width="12" customWidth="1" style="32" min="3" max="3"/>
    <col width="14" customWidth="1" style="32" min="4" max="5"/>
    <col width="22" customWidth="1" style="32" min="6" max="6"/>
    <col width="12" customWidth="1" style="32" min="7" max="7"/>
    <col width="16" customWidth="1" style="32" min="8" max="8"/>
    <col width="9" customWidth="1" style="32" min="9" max="9"/>
    <col width="10" customWidth="1" style="32" min="10" max="11"/>
    <col width="12" customWidth="1" style="32" min="12" max="12"/>
    <col width="9" customWidth="1" style="32" min="13" max="14"/>
    <col width="12" customWidth="1" style="32" min="15" max="15"/>
    <col width="13" customWidth="1" style="32" min="16" max="16"/>
    <col width="18" customWidth="1" style="32" min="17" max="17"/>
    <col width="16" customWidth="1" style="32" min="18" max="19"/>
    <col width="12" customWidth="1" style="32" min="20" max="20"/>
  </cols>
  <sheetData>
    <row r="1" ht="17.35" customHeight="1" s="33">
      <c r="A1" s="34" t="inlineStr">
        <is>
          <t>Loyverse — Receipts by Item Export</t>
        </is>
      </c>
    </row>
    <row r="2" ht="15" customHeight="1" s="33">
      <c r="A2" s="35" t="inlineStr">
        <is>
          <t>Loyverse Back Office › Reports › Receipts › Export › "Receipts by item". One row per line item.</t>
        </is>
      </c>
    </row>
    <row r="3" ht="15" customHeight="1" s="33">
      <c r="A3" s="50" t="inlineStr">
        <is>
          <t>INFERRED — Field concepts confirmed in Loyverse docs; exact CSV header strings NOT independently verified.</t>
        </is>
      </c>
    </row>
    <row r="5" ht="30" customHeight="1" s="33">
      <c r="A5" s="51" t="inlineStr">
        <is>
          <t>Date</t>
        </is>
      </c>
      <c r="B5" s="51" t="inlineStr">
        <is>
          <t>Receipt number</t>
        </is>
      </c>
      <c r="C5" s="51" t="inlineStr">
        <is>
          <t>Receipt type</t>
        </is>
      </c>
      <c r="D5" s="51" t="inlineStr">
        <is>
          <t>Category</t>
        </is>
      </c>
      <c r="E5" s="51" t="inlineStr">
        <is>
          <t>SKU</t>
        </is>
      </c>
      <c r="F5" s="51" t="inlineStr">
        <is>
          <t>Item</t>
        </is>
      </c>
      <c r="G5" s="51" t="inlineStr">
        <is>
          <t>Variant</t>
        </is>
      </c>
      <c r="H5" s="51" t="inlineStr">
        <is>
          <t>Modifiers applied</t>
        </is>
      </c>
      <c r="I5" s="51" t="inlineStr">
        <is>
          <t>Quantity</t>
        </is>
      </c>
      <c r="J5" s="51" t="inlineStr">
        <is>
          <t>Price</t>
        </is>
      </c>
      <c r="K5" s="51" t="inlineStr">
        <is>
          <t>Discount</t>
        </is>
      </c>
      <c r="L5" s="51" t="inlineStr">
        <is>
          <t>Net amount</t>
        </is>
      </c>
      <c r="M5" s="51" t="inlineStr">
        <is>
          <t>Tax</t>
        </is>
      </c>
      <c r="N5" s="51" t="inlineStr">
        <is>
          <t>Cost</t>
        </is>
      </c>
      <c r="O5" s="51" t="inlineStr">
        <is>
          <t>Gross profit</t>
        </is>
      </c>
      <c r="P5" s="51" t="inlineStr">
        <is>
          <t>Payment type</t>
        </is>
      </c>
      <c r="Q5" s="51" t="inlineStr">
        <is>
          <t>Customer name</t>
        </is>
      </c>
      <c r="R5" s="51" t="inlineStr">
        <is>
          <t>Cashier name</t>
        </is>
      </c>
      <c r="S5" s="51" t="inlineStr">
        <is>
          <t>Store</t>
        </is>
      </c>
      <c r="T5" s="51" t="inlineStr">
        <is>
          <t>POS</t>
        </is>
      </c>
    </row>
    <row r="6" ht="15" customHeight="1" s="33">
      <c r="A6" s="44" t="inlineStr">
        <is>
          <t>2026-04-20 09:42</t>
        </is>
      </c>
      <c r="B6" s="44" t="inlineStr">
        <is>
          <t>1-1042</t>
        </is>
      </c>
      <c r="C6" s="44" t="inlineStr">
        <is>
          <t>Sale</t>
        </is>
      </c>
      <c r="D6" s="44" t="inlineStr">
        <is>
          <t>Beverages</t>
        </is>
      </c>
      <c r="E6" s="44" t="inlineStr">
        <is>
          <t>BEV-CAP-R</t>
        </is>
      </c>
      <c r="F6" s="44" t="inlineStr">
        <is>
          <t>Cappuccino</t>
        </is>
      </c>
      <c r="G6" s="44" t="inlineStr">
        <is>
          <t>Regular</t>
        </is>
      </c>
      <c r="H6" s="44" t="n"/>
      <c r="I6" s="48" t="n">
        <v>1</v>
      </c>
      <c r="J6" s="45" t="n">
        <v>18</v>
      </c>
      <c r="K6" s="45" t="n">
        <v>0</v>
      </c>
      <c r="L6" s="45" t="n">
        <v>18</v>
      </c>
      <c r="M6" s="45" t="n">
        <v>1.08</v>
      </c>
      <c r="N6" s="45" t="n">
        <v>5</v>
      </c>
      <c r="O6" s="45" t="n">
        <v>13</v>
      </c>
      <c r="P6" s="44" t="inlineStr">
        <is>
          <t>Card</t>
        </is>
      </c>
      <c r="Q6" s="44" t="inlineStr">
        <is>
          <t>Lim Wei Ming</t>
        </is>
      </c>
      <c r="R6" s="44" t="inlineStr">
        <is>
          <t>Aisha Tan</t>
        </is>
      </c>
      <c r="S6" s="44" t="inlineStr">
        <is>
          <t>KL Main Store</t>
        </is>
      </c>
      <c r="T6" s="44" t="inlineStr">
        <is>
          <t>POS 1</t>
        </is>
      </c>
    </row>
    <row r="7" ht="15" customHeight="1" s="33">
      <c r="A7" s="44" t="inlineStr">
        <is>
          <t>2026-04-20 09:42</t>
        </is>
      </c>
      <c r="B7" s="44" t="inlineStr">
        <is>
          <t>1-1042</t>
        </is>
      </c>
      <c r="C7" s="44" t="inlineStr">
        <is>
          <t>Sale</t>
        </is>
      </c>
      <c r="D7" s="44" t="inlineStr">
        <is>
          <t>Pastries</t>
        </is>
      </c>
      <c r="E7" s="44" t="inlineStr">
        <is>
          <t>PST-ALM-001</t>
        </is>
      </c>
      <c r="F7" s="44" t="inlineStr">
        <is>
          <t>Almond Croissant</t>
        </is>
      </c>
      <c r="G7" s="44" t="n"/>
      <c r="H7" s="44" t="n"/>
      <c r="I7" s="48" t="n">
        <v>1</v>
      </c>
      <c r="J7" s="45" t="n">
        <v>12</v>
      </c>
      <c r="K7" s="45" t="n">
        <v>0</v>
      </c>
      <c r="L7" s="45" t="n">
        <v>12</v>
      </c>
      <c r="M7" s="45" t="n">
        <v>0.72</v>
      </c>
      <c r="N7" s="45" t="n">
        <v>4</v>
      </c>
      <c r="O7" s="45" t="n">
        <v>8</v>
      </c>
      <c r="P7" s="44" t="inlineStr">
        <is>
          <t>Card</t>
        </is>
      </c>
      <c r="Q7" s="44" t="inlineStr">
        <is>
          <t>Lim Wei Ming</t>
        </is>
      </c>
      <c r="R7" s="44" t="inlineStr">
        <is>
          <t>Aisha Tan</t>
        </is>
      </c>
      <c r="S7" s="44" t="inlineStr">
        <is>
          <t>KL Main Store</t>
        </is>
      </c>
      <c r="T7" s="44" t="inlineStr">
        <is>
          <t>POS 1</t>
        </is>
      </c>
    </row>
    <row r="8" ht="15" customHeight="1" s="33">
      <c r="A8" s="44" t="inlineStr">
        <is>
          <t>2026-04-20 09:42</t>
        </is>
      </c>
      <c r="B8" s="44" t="inlineStr">
        <is>
          <t>1-1042</t>
        </is>
      </c>
      <c r="C8" s="44" t="inlineStr">
        <is>
          <t>Sale</t>
        </is>
      </c>
      <c r="D8" s="44" t="inlineStr">
        <is>
          <t>Beverages</t>
        </is>
      </c>
      <c r="E8" s="44" t="inlineStr">
        <is>
          <t>BEV-LAT-L</t>
        </is>
      </c>
      <c r="F8" s="44" t="inlineStr">
        <is>
          <t>Iced Latte</t>
        </is>
      </c>
      <c r="G8" s="44" t="inlineStr">
        <is>
          <t>Large</t>
        </is>
      </c>
      <c r="H8" s="44" t="inlineStr">
        <is>
          <t>Oat milk</t>
        </is>
      </c>
      <c r="I8" s="48" t="n">
        <v>1</v>
      </c>
      <c r="J8" s="45" t="n">
        <v>15</v>
      </c>
      <c r="K8" s="45" t="n">
        <v>0</v>
      </c>
      <c r="L8" s="45" t="n">
        <v>15</v>
      </c>
      <c r="M8" s="45" t="n">
        <v>0.9</v>
      </c>
      <c r="N8" s="45" t="n">
        <v>3.5</v>
      </c>
      <c r="O8" s="45" t="n">
        <v>11.5</v>
      </c>
      <c r="P8" s="44" t="inlineStr">
        <is>
          <t>Card</t>
        </is>
      </c>
      <c r="Q8" s="44" t="inlineStr">
        <is>
          <t>Lim Wei Ming</t>
        </is>
      </c>
      <c r="R8" s="44" t="inlineStr">
        <is>
          <t>Aisha Tan</t>
        </is>
      </c>
      <c r="S8" s="44" t="inlineStr">
        <is>
          <t>KL Main Store</t>
        </is>
      </c>
      <c r="T8" s="44" t="inlineStr">
        <is>
          <t>POS 1</t>
        </is>
      </c>
    </row>
    <row r="9" ht="15" customHeight="1" s="33">
      <c r="A9" s="44" t="inlineStr">
        <is>
          <t>2026-04-20 10:15</t>
        </is>
      </c>
      <c r="B9" s="44" t="inlineStr">
        <is>
          <t>1-1043</t>
        </is>
      </c>
      <c r="C9" s="44" t="inlineStr">
        <is>
          <t>Sale</t>
        </is>
      </c>
      <c r="D9" s="44" t="inlineStr">
        <is>
          <t>Lunch Sets</t>
        </is>
      </c>
      <c r="E9" s="44" t="inlineStr">
        <is>
          <t>LUN-CRS-001</t>
        </is>
      </c>
      <c r="F9" s="44" t="inlineStr">
        <is>
          <t>Chicken Rice Set</t>
        </is>
      </c>
      <c r="G9" s="44" t="inlineStr">
        <is>
          <t>Regular</t>
        </is>
      </c>
      <c r="H9" s="44" t="n"/>
      <c r="I9" s="48" t="n">
        <v>1</v>
      </c>
      <c r="J9" s="45" t="n">
        <v>25</v>
      </c>
      <c r="K9" s="45" t="n">
        <v>2.5</v>
      </c>
      <c r="L9" s="45" t="n">
        <v>22.5</v>
      </c>
      <c r="M9" s="45" t="n">
        <v>1.35</v>
      </c>
      <c r="N9" s="45" t="n">
        <v>8.5</v>
      </c>
      <c r="O9" s="45" t="n">
        <v>14</v>
      </c>
      <c r="P9" s="44" t="inlineStr">
        <is>
          <t>Cash</t>
        </is>
      </c>
      <c r="Q9" s="44" t="n"/>
      <c r="R9" s="44" t="inlineStr">
        <is>
          <t>Aisha Tan</t>
        </is>
      </c>
      <c r="S9" s="44" t="inlineStr">
        <is>
          <t>KL Main Store</t>
        </is>
      </c>
      <c r="T9" s="44" t="inlineStr">
        <is>
          <t>POS 1</t>
        </is>
      </c>
    </row>
    <row r="10" ht="15" customHeight="1" s="33">
      <c r="A10" s="44" t="inlineStr">
        <is>
          <t>2026-04-20 10:15</t>
        </is>
      </c>
      <c r="B10" s="44" t="inlineStr">
        <is>
          <t>1-1043</t>
        </is>
      </c>
      <c r="C10" s="44" t="inlineStr">
        <is>
          <t>Sale</t>
        </is>
      </c>
      <c r="D10" s="44" t="inlineStr">
        <is>
          <t>Beverages</t>
        </is>
      </c>
      <c r="E10" s="44" t="inlineStr">
        <is>
          <t>BEV-SFD-C</t>
        </is>
      </c>
      <c r="F10" s="44" t="inlineStr">
        <is>
          <t>Soft Drink</t>
        </is>
      </c>
      <c r="G10" s="44" t="inlineStr">
        <is>
          <t>Can</t>
        </is>
      </c>
      <c r="H10" s="44" t="n"/>
      <c r="I10" s="48" t="n">
        <v>1</v>
      </c>
      <c r="J10" s="45" t="n">
        <v>3.5</v>
      </c>
      <c r="K10" s="45" t="n">
        <v>0</v>
      </c>
      <c r="L10" s="45" t="n">
        <v>3.5</v>
      </c>
      <c r="M10" s="45" t="n">
        <v>0.21</v>
      </c>
      <c r="N10" s="45" t="n">
        <v>1.3</v>
      </c>
      <c r="O10" s="45" t="n">
        <v>2.2</v>
      </c>
      <c r="P10" s="44" t="inlineStr">
        <is>
          <t>Cash</t>
        </is>
      </c>
      <c r="Q10" s="44" t="n"/>
      <c r="R10" s="44" t="inlineStr">
        <is>
          <t>Aisha Tan</t>
        </is>
      </c>
      <c r="S10" s="44" t="inlineStr">
        <is>
          <t>KL Main Store</t>
        </is>
      </c>
      <c r="T10" s="44" t="inlineStr">
        <is>
          <t>POS 1</t>
        </is>
      </c>
    </row>
    <row r="11" ht="15" customHeight="1" s="33">
      <c r="A11" s="44" t="inlineStr">
        <is>
          <t>2026-04-20 12:30</t>
        </is>
      </c>
      <c r="B11" s="44" t="inlineStr">
        <is>
          <t>1-1044</t>
        </is>
      </c>
      <c r="C11" s="44" t="inlineStr">
        <is>
          <t>Sale</t>
        </is>
      </c>
      <c r="D11" s="44" t="inlineStr">
        <is>
          <t>Family Meals</t>
        </is>
      </c>
      <c r="E11" s="44" t="inlineStr">
        <is>
          <t>FAM-COMA</t>
        </is>
      </c>
      <c r="F11" s="44" t="inlineStr">
        <is>
          <t>Family Combo A</t>
        </is>
      </c>
      <c r="G11" s="44" t="inlineStr">
        <is>
          <t>Set for 4</t>
        </is>
      </c>
      <c r="H11" s="44" t="n"/>
      <c r="I11" s="48" t="n">
        <v>1</v>
      </c>
      <c r="J11" s="45" t="n">
        <v>120</v>
      </c>
      <c r="K11" s="45" t="n">
        <v>0</v>
      </c>
      <c r="L11" s="45" t="n">
        <v>120</v>
      </c>
      <c r="M11" s="45" t="n">
        <v>7.92</v>
      </c>
      <c r="N11" s="45" t="n">
        <v>38</v>
      </c>
      <c r="O11" s="45" t="n">
        <v>82</v>
      </c>
      <c r="P11" s="44" t="inlineStr">
        <is>
          <t>Card</t>
        </is>
      </c>
      <c r="Q11" s="44" t="inlineStr">
        <is>
          <t>Sarah Chen</t>
        </is>
      </c>
      <c r="R11" s="44" t="inlineStr">
        <is>
          <t>Online Order</t>
        </is>
      </c>
      <c r="S11" s="44" t="inlineStr">
        <is>
          <t>KL Main Store</t>
        </is>
      </c>
      <c r="T11" s="44" t="inlineStr">
        <is>
          <t>POS Online</t>
        </is>
      </c>
    </row>
    <row r="12" ht="15" customHeight="1" s="33">
      <c r="A12" s="44" t="inlineStr">
        <is>
          <t>2026-04-20 14:05</t>
        </is>
      </c>
      <c r="B12" s="44" t="inlineStr">
        <is>
          <t>1-1045</t>
        </is>
      </c>
      <c r="C12" s="44" t="inlineStr">
        <is>
          <t>Sale</t>
        </is>
      </c>
      <c r="D12" s="44" t="inlineStr">
        <is>
          <t>Beverages</t>
        </is>
      </c>
      <c r="E12" s="44" t="inlineStr">
        <is>
          <t>BEV-LAT-R</t>
        </is>
      </c>
      <c r="F12" s="44" t="inlineStr">
        <is>
          <t>Iced Latte</t>
        </is>
      </c>
      <c r="G12" s="44" t="inlineStr">
        <is>
          <t>Regular</t>
        </is>
      </c>
      <c r="H12" s="44" t="n"/>
      <c r="I12" s="48" t="n">
        <v>2</v>
      </c>
      <c r="J12" s="45" t="n">
        <v>9</v>
      </c>
      <c r="K12" s="45" t="n">
        <v>0</v>
      </c>
      <c r="L12" s="45" t="n">
        <v>18</v>
      </c>
      <c r="M12" s="45" t="n">
        <v>1.08</v>
      </c>
      <c r="N12" s="45" t="n">
        <v>2.7</v>
      </c>
      <c r="O12" s="45" t="n">
        <v>12.6</v>
      </c>
      <c r="P12" s="44" t="inlineStr">
        <is>
          <t>Cash</t>
        </is>
      </c>
      <c r="Q12" s="44" t="n"/>
      <c r="R12" s="44" t="inlineStr">
        <is>
          <t>Rajesh Kumar</t>
        </is>
      </c>
      <c r="S12" s="44" t="inlineStr">
        <is>
          <t>KL Main Store</t>
        </is>
      </c>
      <c r="T12" s="44" t="inlineStr">
        <is>
          <t>POS 1</t>
        </is>
      </c>
    </row>
    <row r="13" ht="15" customHeight="1" s="33">
      <c r="A13" s="44" t="inlineStr">
        <is>
          <t>2026-04-20 16:22</t>
        </is>
      </c>
      <c r="B13" s="44" t="inlineStr">
        <is>
          <t>1-1046</t>
        </is>
      </c>
      <c r="C13" s="44" t="inlineStr">
        <is>
          <t>Sale</t>
        </is>
      </c>
      <c r="D13" s="44" t="inlineStr">
        <is>
          <t>Sandwiches</t>
        </is>
      </c>
      <c r="E13" s="44" t="inlineStr">
        <is>
          <t>SND-CLB-R</t>
        </is>
      </c>
      <c r="F13" s="44" t="inlineStr">
        <is>
          <t>Club Sandwich</t>
        </is>
      </c>
      <c r="G13" s="44" t="inlineStr">
        <is>
          <t>Regular</t>
        </is>
      </c>
      <c r="H13" s="44" t="inlineStr">
        <is>
          <t>Extra cheese</t>
        </is>
      </c>
      <c r="I13" s="48" t="n">
        <v>1</v>
      </c>
      <c r="J13" s="45" t="n">
        <v>35</v>
      </c>
      <c r="K13" s="45" t="n">
        <v>0</v>
      </c>
      <c r="L13" s="45" t="n">
        <v>35</v>
      </c>
      <c r="M13" s="45" t="n">
        <v>2.1</v>
      </c>
      <c r="N13" s="45" t="n">
        <v>11</v>
      </c>
      <c r="O13" s="45" t="n">
        <v>24</v>
      </c>
      <c r="P13" s="44" t="inlineStr">
        <is>
          <t>Card</t>
        </is>
      </c>
      <c r="Q13" s="44" t="inlineStr">
        <is>
          <t>Daniel Wong</t>
        </is>
      </c>
      <c r="R13" s="44" t="inlineStr">
        <is>
          <t>Rajesh Kumar</t>
        </is>
      </c>
      <c r="S13" s="44" t="inlineStr">
        <is>
          <t>KL Main Store</t>
        </is>
      </c>
      <c r="T13" s="44" t="inlineStr">
        <is>
          <t>POS 1</t>
        </is>
      </c>
    </row>
    <row r="14" ht="15" customHeight="1" s="33">
      <c r="A14" s="44" t="inlineStr">
        <is>
          <t>2026-04-20 16:22</t>
        </is>
      </c>
      <c r="B14" s="44" t="inlineStr">
        <is>
          <t>1-1046</t>
        </is>
      </c>
      <c r="C14" s="44" t="inlineStr">
        <is>
          <t>Sale</t>
        </is>
      </c>
      <c r="D14" s="44" t="inlineStr">
        <is>
          <t>Beverages</t>
        </is>
      </c>
      <c r="E14" s="44" t="inlineStr">
        <is>
          <t>BEV-FJU-R</t>
        </is>
      </c>
      <c r="F14" s="44" t="inlineStr">
        <is>
          <t>Fresh Juice</t>
        </is>
      </c>
      <c r="G14" s="44" t="inlineStr">
        <is>
          <t>Regular</t>
        </is>
      </c>
      <c r="H14" s="44" t="n"/>
      <c r="I14" s="48" t="n">
        <v>2</v>
      </c>
      <c r="J14" s="45" t="n">
        <v>15</v>
      </c>
      <c r="K14" s="45" t="n">
        <v>0</v>
      </c>
      <c r="L14" s="45" t="n">
        <v>30</v>
      </c>
      <c r="M14" s="45" t="n">
        <v>1.8</v>
      </c>
      <c r="N14" s="45" t="n">
        <v>5</v>
      </c>
      <c r="O14" s="45" t="n">
        <v>20</v>
      </c>
      <c r="P14" s="44" t="inlineStr">
        <is>
          <t>Card</t>
        </is>
      </c>
      <c r="Q14" s="44" t="inlineStr">
        <is>
          <t>Daniel Wong</t>
        </is>
      </c>
      <c r="R14" s="44" t="inlineStr">
        <is>
          <t>Rajesh Kumar</t>
        </is>
      </c>
      <c r="S14" s="44" t="inlineStr">
        <is>
          <t>KL Main Store</t>
        </is>
      </c>
      <c r="T14" s="44" t="inlineStr">
        <is>
          <t>POS 1</t>
        </is>
      </c>
    </row>
    <row r="15" ht="15" customHeight="1" s="33">
      <c r="A15" s="46" t="inlineStr">
        <is>
          <t>TOTAL</t>
        </is>
      </c>
      <c r="B15" s="44" t="n"/>
      <c r="C15" s="44" t="n"/>
      <c r="D15" s="44" t="n"/>
      <c r="E15" s="44" t="n"/>
      <c r="F15" s="44" t="n"/>
      <c r="G15" s="44" t="n"/>
      <c r="H15" s="44" t="n"/>
      <c r="I15" s="49">
        <f>SUM(I6:I14)</f>
        <v/>
      </c>
      <c r="J15" s="47">
        <f>SUM(J6:J14)</f>
        <v/>
      </c>
      <c r="K15" s="47">
        <f>SUM(K6:K14)</f>
        <v/>
      </c>
      <c r="L15" s="47">
        <f>SUM(L6:L14)</f>
        <v/>
      </c>
      <c r="M15" s="47">
        <f>SUM(M6:M14)</f>
        <v/>
      </c>
      <c r="N15" s="47">
        <f>SUM(N6:N14)</f>
        <v/>
      </c>
      <c r="O15" s="47">
        <f>SUM(O6:O14)</f>
        <v/>
      </c>
      <c r="P15" s="44" t="n"/>
      <c r="Q15" s="44" t="n"/>
      <c r="R15" s="44" t="n"/>
      <c r="S15" s="44" t="n"/>
      <c r="T15" s="4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12"/>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12" customWidth="1" style="32" min="1" max="1"/>
    <col width="13" customWidth="1" style="32" min="2" max="2"/>
    <col width="11" customWidth="1" style="32" min="3" max="3"/>
    <col width="12" customWidth="1" style="32" min="4" max="5"/>
    <col width="14" customWidth="1" style="32" min="6" max="6"/>
    <col width="13" customWidth="1" style="32" min="7" max="7"/>
    <col width="10" customWidth="1" style="32" min="8" max="8"/>
    <col width="11" customWidth="1" style="32" min="9" max="9"/>
    <col width="9" customWidth="1" style="32" min="10" max="10"/>
    <col width="11" customWidth="1" style="32" min="11" max="11"/>
    <col width="14" customWidth="1" style="32" min="12" max="12"/>
  </cols>
  <sheetData>
    <row r="1" ht="17.35" customHeight="1" s="33">
      <c r="A1" s="34" t="inlineStr">
        <is>
          <t>Loyverse — Sales Summary Report</t>
        </is>
      </c>
    </row>
    <row r="2" ht="15" customHeight="1" s="33">
      <c r="A2" s="35" t="inlineStr">
        <is>
          <t>Loyverse Back Office › Reports › Sales summary › Export. Daily totals.</t>
        </is>
      </c>
    </row>
    <row r="3" ht="15" customHeight="1" s="33">
      <c r="A3" s="50" t="inlineStr">
        <is>
          <t>INFERRED — Field concepts confirmed in Loyverse Sales Summary docs; exact CSV header strings NOT independently verified.</t>
        </is>
      </c>
    </row>
    <row r="5" ht="30" customHeight="1" s="33">
      <c r="A5" s="51" t="inlineStr">
        <is>
          <t>Date</t>
        </is>
      </c>
      <c r="B5" s="51" t="inlineStr">
        <is>
          <t>Gross sales</t>
        </is>
      </c>
      <c r="C5" s="51" t="inlineStr">
        <is>
          <t>Refunds</t>
        </is>
      </c>
      <c r="D5" s="51" t="inlineStr">
        <is>
          <t>Discounts</t>
        </is>
      </c>
      <c r="E5" s="51" t="inlineStr">
        <is>
          <t>Net sales</t>
        </is>
      </c>
      <c r="F5" s="51" t="inlineStr">
        <is>
          <t>Cost of goods</t>
        </is>
      </c>
      <c r="G5" s="51" t="inlineStr">
        <is>
          <t>Gross profit</t>
        </is>
      </c>
      <c r="H5" s="51" t="inlineStr">
        <is>
          <t>Margin</t>
        </is>
      </c>
      <c r="I5" s="51" t="inlineStr">
        <is>
          <t>Taxes</t>
        </is>
      </c>
      <c r="J5" s="51" t="inlineStr">
        <is>
          <t>Tips</t>
        </is>
      </c>
      <c r="K5" s="51" t="inlineStr">
        <is>
          <t>Receipts</t>
        </is>
      </c>
      <c r="L5" s="51" t="inlineStr">
        <is>
          <t>Average sale</t>
        </is>
      </c>
    </row>
    <row r="6" ht="15" customHeight="1" s="33">
      <c r="A6" s="44" t="inlineStr">
        <is>
          <t>2026-04-15</t>
        </is>
      </c>
      <c r="B6" s="45" t="n">
        <v>1245.5</v>
      </c>
      <c r="C6" s="45" t="n">
        <v>0</v>
      </c>
      <c r="D6" s="45" t="n">
        <v>45</v>
      </c>
      <c r="E6" s="45">
        <f>B6-C6-D6</f>
        <v/>
      </c>
      <c r="F6" s="45" t="n">
        <v>412.3</v>
      </c>
      <c r="G6" s="45">
        <f>E6-F6</f>
        <v/>
      </c>
      <c r="H6" s="53">
        <f>IFERROR(G6/E6,0)</f>
        <v/>
      </c>
      <c r="I6" s="45" t="n">
        <v>72.03</v>
      </c>
      <c r="J6" s="45" t="n">
        <v>28</v>
      </c>
      <c r="K6" s="48" t="n">
        <v>47</v>
      </c>
      <c r="L6" s="45">
        <f>IFERROR(E6/K6,0)</f>
        <v/>
      </c>
    </row>
    <row r="7" ht="15" customHeight="1" s="33">
      <c r="A7" s="44" t="inlineStr">
        <is>
          <t>2026-04-16</t>
        </is>
      </c>
      <c r="B7" s="45" t="n">
        <v>1389</v>
      </c>
      <c r="C7" s="45" t="n">
        <v>28.5</v>
      </c>
      <c r="D7" s="45" t="n">
        <v>62</v>
      </c>
      <c r="E7" s="45">
        <f>B7-C7-D7</f>
        <v/>
      </c>
      <c r="F7" s="45" t="n">
        <v>458.2</v>
      </c>
      <c r="G7" s="45">
        <f>E7-F7</f>
        <v/>
      </c>
      <c r="H7" s="53">
        <f>IFERROR(G7/E7,0)</f>
        <v/>
      </c>
      <c r="I7" s="45" t="n">
        <v>77.91</v>
      </c>
      <c r="J7" s="45" t="n">
        <v>31.5</v>
      </c>
      <c r="K7" s="48" t="n">
        <v>52</v>
      </c>
      <c r="L7" s="45">
        <f>IFERROR(E7/K7,0)</f>
        <v/>
      </c>
    </row>
    <row r="8" ht="15" customHeight="1" s="33">
      <c r="A8" s="44" t="inlineStr">
        <is>
          <t>2026-04-17</t>
        </is>
      </c>
      <c r="B8" s="45" t="n">
        <v>1622.4</v>
      </c>
      <c r="C8" s="45" t="n">
        <v>0</v>
      </c>
      <c r="D8" s="45" t="n">
        <v>88</v>
      </c>
      <c r="E8" s="45">
        <f>B8-C8-D8</f>
        <v/>
      </c>
      <c r="F8" s="45" t="n">
        <v>535.5</v>
      </c>
      <c r="G8" s="45">
        <f>E8-F8</f>
        <v/>
      </c>
      <c r="H8" s="53">
        <f>IFERROR(G8/E8,0)</f>
        <v/>
      </c>
      <c r="I8" s="45" t="n">
        <v>92.06</v>
      </c>
      <c r="J8" s="45" t="n">
        <v>42</v>
      </c>
      <c r="K8" s="48" t="n">
        <v>58</v>
      </c>
      <c r="L8" s="45">
        <f>IFERROR(E8/K8,0)</f>
        <v/>
      </c>
    </row>
    <row r="9" ht="15" customHeight="1" s="33">
      <c r="A9" s="44" t="inlineStr">
        <is>
          <t>2026-04-18</t>
        </is>
      </c>
      <c r="B9" s="45" t="n">
        <v>1875.2</v>
      </c>
      <c r="C9" s="45" t="n">
        <v>45</v>
      </c>
      <c r="D9" s="45" t="n">
        <v>102.5</v>
      </c>
      <c r="E9" s="45">
        <f>B9-C9-D9</f>
        <v/>
      </c>
      <c r="F9" s="45" t="n">
        <v>619.8</v>
      </c>
      <c r="G9" s="45">
        <f>E9-F9</f>
        <v/>
      </c>
      <c r="H9" s="53">
        <f>IFERROR(G9/E9,0)</f>
        <v/>
      </c>
      <c r="I9" s="45" t="n">
        <v>103.96</v>
      </c>
      <c r="J9" s="45" t="n">
        <v>55</v>
      </c>
      <c r="K9" s="48" t="n">
        <v>67</v>
      </c>
      <c r="L9" s="45">
        <f>IFERROR(E9/K9,0)</f>
        <v/>
      </c>
    </row>
    <row r="10" ht="15" customHeight="1" s="33">
      <c r="A10" s="44" t="inlineStr">
        <is>
          <t>2026-04-19</t>
        </is>
      </c>
      <c r="B10" s="45" t="n">
        <v>2104.8</v>
      </c>
      <c r="C10" s="45" t="n">
        <v>0</v>
      </c>
      <c r="D10" s="45" t="n">
        <v>125</v>
      </c>
      <c r="E10" s="45">
        <f>B10-C10-D10</f>
        <v/>
      </c>
      <c r="F10" s="45" t="n">
        <v>695.6</v>
      </c>
      <c r="G10" s="45">
        <f>E10-F10</f>
        <v/>
      </c>
      <c r="H10" s="53">
        <f>IFERROR(G10/E10,0)</f>
        <v/>
      </c>
      <c r="I10" s="45" t="n">
        <v>118.79</v>
      </c>
      <c r="J10" s="45" t="n">
        <v>68.5</v>
      </c>
      <c r="K10" s="48" t="n">
        <v>74</v>
      </c>
      <c r="L10" s="45">
        <f>IFERROR(E10/K10,0)</f>
        <v/>
      </c>
    </row>
    <row r="11" ht="15" customHeight="1" s="33">
      <c r="A11" s="44" t="inlineStr">
        <is>
          <t>2026-04-20</t>
        </is>
      </c>
      <c r="B11" s="45" t="n">
        <v>1342</v>
      </c>
      <c r="C11" s="45" t="n">
        <v>47.7</v>
      </c>
      <c r="D11" s="45" t="n">
        <v>50</v>
      </c>
      <c r="E11" s="45">
        <f>B11-C11-D11</f>
        <v/>
      </c>
      <c r="F11" s="45" t="n">
        <v>443.86</v>
      </c>
      <c r="G11" s="45">
        <f>E11-F11</f>
        <v/>
      </c>
      <c r="H11" s="53">
        <f>IFERROR(G11/E11,0)</f>
        <v/>
      </c>
      <c r="I11" s="45" t="n">
        <v>74.65000000000001</v>
      </c>
      <c r="J11" s="45" t="n">
        <v>35</v>
      </c>
      <c r="K11" s="48" t="n">
        <v>49</v>
      </c>
      <c r="L11" s="45">
        <f>IFERROR(E11/K11,0)</f>
        <v/>
      </c>
    </row>
    <row r="12" ht="15" customHeight="1" s="33">
      <c r="A12" s="46" t="inlineStr">
        <is>
          <t>TOTAL</t>
        </is>
      </c>
      <c r="B12" s="47">
        <f>SUM(B6:B11)</f>
        <v/>
      </c>
      <c r="C12" s="47">
        <f>SUM(C6:C11)</f>
        <v/>
      </c>
      <c r="D12" s="47">
        <f>SUM(D6:D11)</f>
        <v/>
      </c>
      <c r="E12" s="47">
        <f>SUM(E6:E11)</f>
        <v/>
      </c>
      <c r="F12" s="47">
        <f>SUM(F6:F11)</f>
        <v/>
      </c>
      <c r="G12" s="47">
        <f>SUM(G6:G11)</f>
        <v/>
      </c>
      <c r="H12" s="54">
        <f>IFERROR(G12/E12,0)</f>
        <v/>
      </c>
      <c r="I12" s="47">
        <f>SUM(I6:I11)</f>
        <v/>
      </c>
      <c r="J12" s="47">
        <f>SUM(J6:J11)</f>
        <v/>
      </c>
      <c r="K12" s="49">
        <f>SUM(K6:K11)</f>
        <v/>
      </c>
      <c r="L12" s="47">
        <f>IFERROR(E12/K12,0)</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24" customWidth="1" style="33" min="1" max="1"/>
    <col width="14" customWidth="1" style="33" min="2" max="2"/>
    <col width="12" customWidth="1" style="33" min="3" max="3"/>
    <col width="16" customWidth="1" style="33" min="4" max="4"/>
    <col width="16" customWidth="1" style="33" min="5" max="5"/>
    <col width="16" customWidth="1" style="33" min="6" max="6"/>
    <col width="10" customWidth="1" style="33" min="7" max="7"/>
  </cols>
  <sheetData>
    <row r="1">
      <c r="A1" s="55" t="inlineStr">
        <is>
          <t>StoreHub — Best Selling Products Report</t>
        </is>
      </c>
    </row>
    <row r="2">
      <c r="A2" s="56" t="inlineStr">
        <is>
          <t>StoreHub BackOffice › Reports › Best Selling Products › Export to CSV. One row per product for the selected date range.</t>
        </is>
      </c>
    </row>
    <row r="3" ht="48" customHeight="1" s="33">
      <c r="A3" s="57" t="inlineStr">
        <is>
          <t>PARTIALLY VERIFIED — Column names (Total Sales, Total Sold, Sale/Item, Cost/Item, GP%) confirmed via StoreHub official blog (storehub.com/my/blog/storehub-reports/, April 2026). Product Name &amp; Category inferred from documented filter options. Exact CSV header strings NOT verified against a real export.</t>
        </is>
      </c>
    </row>
    <row r="5">
      <c r="A5" s="58" t="inlineStr">
        <is>
          <t>Product Name</t>
        </is>
      </c>
      <c r="B5" s="58" t="inlineStr">
        <is>
          <t>Category</t>
        </is>
      </c>
      <c r="C5" s="58" t="inlineStr">
        <is>
          <t>Total Sold</t>
        </is>
      </c>
      <c r="D5" s="58" t="inlineStr">
        <is>
          <t>Total Sales (RM)</t>
        </is>
      </c>
      <c r="E5" s="58" t="inlineStr">
        <is>
          <t>Sale / Item (RM)</t>
        </is>
      </c>
      <c r="F5" s="58" t="inlineStr">
        <is>
          <t>Cost / Item (RM)</t>
        </is>
      </c>
      <c r="G5" s="58" t="inlineStr">
        <is>
          <t>GP (%)</t>
        </is>
      </c>
    </row>
    <row r="6">
      <c r="A6" s="59" t="inlineStr">
        <is>
          <t>Grilled Chicken Set</t>
        </is>
      </c>
      <c r="B6" s="59" t="inlineStr">
        <is>
          <t>Mains</t>
        </is>
      </c>
      <c r="C6" s="59" t="n">
        <v>380</v>
      </c>
      <c r="D6" s="59" t="n">
        <v>8360</v>
      </c>
      <c r="E6" s="59" t="n">
        <v>22</v>
      </c>
      <c r="F6" s="59" t="n">
        <v>8.199999999999999</v>
      </c>
      <c r="G6" s="59" t="inlineStr">
        <is>
          <t>62.7%</t>
        </is>
      </c>
    </row>
    <row r="7">
      <c r="A7" s="60" t="inlineStr">
        <is>
          <t>Chicken Rice</t>
        </is>
      </c>
      <c r="B7" s="60" t="inlineStr">
        <is>
          <t>Mains</t>
        </is>
      </c>
      <c r="C7" s="60" t="n">
        <v>310</v>
      </c>
      <c r="D7" s="60" t="n">
        <v>5890</v>
      </c>
      <c r="E7" s="60" t="n">
        <v>19</v>
      </c>
      <c r="F7" s="60" t="n">
        <v>7.1</v>
      </c>
      <c r="G7" s="60" t="inlineStr">
        <is>
          <t>62.6%</t>
        </is>
      </c>
    </row>
    <row r="8">
      <c r="A8" s="59" t="inlineStr">
        <is>
          <t>Nasi Goreng Kampung</t>
        </is>
      </c>
      <c r="B8" s="59" t="inlineStr">
        <is>
          <t>Mains</t>
        </is>
      </c>
      <c r="C8" s="59" t="n">
        <v>290</v>
      </c>
      <c r="D8" s="59" t="n">
        <v>5220</v>
      </c>
      <c r="E8" s="59" t="n">
        <v>18</v>
      </c>
      <c r="F8" s="59" t="n">
        <v>7.5</v>
      </c>
      <c r="G8" s="59" t="inlineStr">
        <is>
          <t>58.3%</t>
        </is>
      </c>
    </row>
    <row r="9">
      <c r="A9" s="60" t="inlineStr">
        <is>
          <t>Set Breakfast</t>
        </is>
      </c>
      <c r="B9" s="60" t="inlineStr">
        <is>
          <t>Mains</t>
        </is>
      </c>
      <c r="C9" s="60" t="n">
        <v>255</v>
      </c>
      <c r="D9" s="60" t="n">
        <v>4335</v>
      </c>
      <c r="E9" s="60" t="n">
        <v>17</v>
      </c>
      <c r="F9" s="60" t="n">
        <v>9.800000000000001</v>
      </c>
      <c r="G9" s="60" t="inlineStr">
        <is>
          <t>42.4%</t>
        </is>
      </c>
    </row>
    <row r="10">
      <c r="A10" s="59" t="inlineStr">
        <is>
          <t>Teh Tarik</t>
        </is>
      </c>
      <c r="B10" s="59" t="inlineStr">
        <is>
          <t>Beverages</t>
        </is>
      </c>
      <c r="C10" s="59" t="n">
        <v>420</v>
      </c>
      <c r="D10" s="59" t="n">
        <v>2940</v>
      </c>
      <c r="E10" s="59" t="n">
        <v>7</v>
      </c>
      <c r="F10" s="59" t="n">
        <v>1.2</v>
      </c>
      <c r="G10" s="59" t="inlineStr">
        <is>
          <t>82.9%</t>
        </is>
      </c>
    </row>
    <row r="11">
      <c r="A11" s="60" t="inlineStr">
        <is>
          <t>Milo Dinosaur</t>
        </is>
      </c>
      <c r="B11" s="60" t="inlineStr">
        <is>
          <t>Beverages</t>
        </is>
      </c>
      <c r="C11" s="60" t="n">
        <v>310</v>
      </c>
      <c r="D11" s="60" t="n">
        <v>2480</v>
      </c>
      <c r="E11" s="60" t="n">
        <v>8</v>
      </c>
      <c r="F11" s="60" t="n">
        <v>1.8</v>
      </c>
      <c r="G11" s="60" t="inlineStr">
        <is>
          <t>77.5%</t>
        </is>
      </c>
    </row>
    <row r="12">
      <c r="A12" s="59" t="inlineStr">
        <is>
          <t>Mee Goreng</t>
        </is>
      </c>
      <c r="B12" s="59" t="inlineStr">
        <is>
          <t>Mains</t>
        </is>
      </c>
      <c r="C12" s="59" t="n">
        <v>180</v>
      </c>
      <c r="D12" s="59" t="n">
        <v>2700</v>
      </c>
      <c r="E12" s="59" t="n">
        <v>15</v>
      </c>
      <c r="F12" s="59" t="n">
        <v>8</v>
      </c>
      <c r="G12" s="59" t="inlineStr">
        <is>
          <t>46.7%</t>
        </is>
      </c>
    </row>
    <row r="13">
      <c r="A13" s="60" t="inlineStr">
        <is>
          <t>Laksa</t>
        </is>
      </c>
      <c r="B13" s="60" t="inlineStr">
        <is>
          <t>Mains</t>
        </is>
      </c>
      <c r="C13" s="60" t="n">
        <v>65</v>
      </c>
      <c r="D13" s="60" t="n">
        <v>975</v>
      </c>
      <c r="E13" s="60" t="n">
        <v>15</v>
      </c>
      <c r="F13" s="60" t="n">
        <v>9.5</v>
      </c>
      <c r="G13" s="60" t="inlineStr">
        <is>
          <t>36.7%</t>
        </is>
      </c>
    </row>
    <row r="15" ht="36" customHeight="1" s="33">
      <c r="A15" s="57" t="inlineStr">
        <is>
          <t>⚠  Period-aggregated — no Date column per row. Set the date filter to your desired month before exporting. Pair with the Daily Sales report if day-level revenue breakdown is needed.</t>
        </is>
      </c>
    </row>
  </sheetData>
  <mergeCells count="4">
    <mergeCell ref="A3:G3"/>
    <mergeCell ref="A2:G2"/>
    <mergeCell ref="A1:G1"/>
    <mergeCell ref="A15:G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3" customWidth="1" style="33" min="1" max="1"/>
    <col width="14" customWidth="1" style="33" min="2" max="2"/>
    <col width="14" customWidth="1" style="33" min="3" max="3"/>
    <col width="19" customWidth="1" style="33" min="4" max="4"/>
    <col width="11" customWidth="1" style="33" min="5" max="5"/>
    <col width="18" customWidth="1" style="33" min="6" max="6"/>
    <col width="10" customWidth="1" style="33" min="7" max="7"/>
    <col width="13" customWidth="1" style="33" min="8" max="8"/>
    <col width="22" customWidth="1" style="33" min="9" max="9"/>
  </cols>
  <sheetData>
    <row r="1">
      <c r="A1" s="55" t="inlineStr">
        <is>
          <t>StoreHub — Daily Sales Report</t>
        </is>
      </c>
    </row>
    <row r="2">
      <c r="A2" s="56" t="inlineStr">
        <is>
          <t>StoreHub BackOffice › Reports › Daily Sales › Export. One row per day.</t>
        </is>
      </c>
    </row>
    <row r="3" ht="40" customHeight="1" s="33">
      <c r="A3" s="57" t="inlineStr">
        <is>
          <t>PARTIALLY VERIFIED — Field names (Net Sales, Rounding, Service Charge, Tax, Total Tendered, GP%, Transactions) confirmed via StoreHub blog. Date column inferred. Exact CSV header strings NOT verified against a real export.</t>
        </is>
      </c>
    </row>
    <row r="5">
      <c r="A5" s="58" t="inlineStr">
        <is>
          <t>Date</t>
        </is>
      </c>
      <c r="B5" s="58" t="inlineStr">
        <is>
          <t>Net Sales (RM)</t>
        </is>
      </c>
      <c r="C5" s="58" t="inlineStr">
        <is>
          <t>Rounding (RM)</t>
        </is>
      </c>
      <c r="D5" s="58" t="inlineStr">
        <is>
          <t>Service Charge (RM)</t>
        </is>
      </c>
      <c r="E5" s="58" t="inlineStr">
        <is>
          <t>Tax (RM)</t>
        </is>
      </c>
      <c r="F5" s="58" t="inlineStr">
        <is>
          <t>Total Tendered (RM)</t>
        </is>
      </c>
      <c r="G5" s="58" t="inlineStr">
        <is>
          <t>GP (%)</t>
        </is>
      </c>
      <c r="H5" s="58" t="inlineStr">
        <is>
          <t>Transactions</t>
        </is>
      </c>
      <c r="I5" s="58" t="inlineStr">
        <is>
          <t>Net Sales / Transaction</t>
        </is>
      </c>
    </row>
    <row r="6">
      <c r="A6" s="59" t="inlineStr">
        <is>
          <t>2026-04-15</t>
        </is>
      </c>
      <c r="B6" s="59" t="n">
        <v>1245.5</v>
      </c>
      <c r="C6" s="59" t="n">
        <v>0</v>
      </c>
      <c r="D6" s="59" t="n">
        <v>24.05</v>
      </c>
      <c r="E6" s="59" t="n">
        <v>72.03</v>
      </c>
      <c r="F6" s="59" t="n">
        <v>1341.58</v>
      </c>
      <c r="G6" s="59" t="inlineStr">
        <is>
          <t>59.2%</t>
        </is>
      </c>
      <c r="H6" s="59" t="n">
        <v>47</v>
      </c>
      <c r="I6" s="59" t="n">
        <v>26.5</v>
      </c>
    </row>
    <row r="7">
      <c r="A7" s="60" t="inlineStr">
        <is>
          <t>2026-04-16</t>
        </is>
      </c>
      <c r="B7" s="60" t="n">
        <v>1380</v>
      </c>
      <c r="C7" s="60" t="n">
        <v>0.1</v>
      </c>
      <c r="D7" s="60" t="n">
        <v>26.62</v>
      </c>
      <c r="E7" s="60" t="n">
        <v>79.81999999999999</v>
      </c>
      <c r="F7" s="60" t="n">
        <v>1486.54</v>
      </c>
      <c r="G7" s="60" t="inlineStr">
        <is>
          <t>60.1%</t>
        </is>
      </c>
      <c r="H7" s="60" t="n">
        <v>52</v>
      </c>
      <c r="I7" s="60" t="n">
        <v>26.54</v>
      </c>
    </row>
    <row r="8">
      <c r="A8" s="59" t="inlineStr">
        <is>
          <t>2026-04-17</t>
        </is>
      </c>
      <c r="B8" s="59" t="n">
        <v>980</v>
      </c>
      <c r="C8" s="59" t="n">
        <v>0</v>
      </c>
      <c r="D8" s="59" t="n">
        <v>18.9</v>
      </c>
      <c r="E8" s="59" t="n">
        <v>56.7</v>
      </c>
      <c r="F8" s="59" t="n">
        <v>1055.6</v>
      </c>
      <c r="G8" s="59" t="inlineStr">
        <is>
          <t>58.8%</t>
        </is>
      </c>
      <c r="H8" s="59" t="n">
        <v>38</v>
      </c>
      <c r="I8" s="59" t="n">
        <v>25.79</v>
      </c>
    </row>
    <row r="9">
      <c r="A9" s="60" t="inlineStr">
        <is>
          <t>2026-04-18</t>
        </is>
      </c>
      <c r="B9" s="60" t="n">
        <v>1520</v>
      </c>
      <c r="C9" s="60" t="n">
        <v>0.05</v>
      </c>
      <c r="D9" s="60" t="n">
        <v>29.33</v>
      </c>
      <c r="E9" s="60" t="n">
        <v>87.98</v>
      </c>
      <c r="F9" s="60" t="n">
        <v>1637.36</v>
      </c>
      <c r="G9" s="60" t="inlineStr">
        <is>
          <t>61.3%</t>
        </is>
      </c>
      <c r="H9" s="60" t="n">
        <v>58</v>
      </c>
      <c r="I9" s="60" t="n">
        <v>26.21</v>
      </c>
    </row>
    <row r="10">
      <c r="A10" s="59" t="inlineStr">
        <is>
          <t>2026-04-19</t>
        </is>
      </c>
      <c r="B10" s="59" t="n">
        <v>1650</v>
      </c>
      <c r="C10" s="59" t="n">
        <v>0.1</v>
      </c>
      <c r="D10" s="59" t="n">
        <v>31.83</v>
      </c>
      <c r="E10" s="59" t="n">
        <v>95.48999999999999</v>
      </c>
      <c r="F10" s="59" t="n">
        <v>1777.42</v>
      </c>
      <c r="G10" s="59" t="inlineStr">
        <is>
          <t>62.0%</t>
        </is>
      </c>
      <c r="H10" s="59" t="n">
        <v>61</v>
      </c>
      <c r="I10" s="59" t="n">
        <v>27.05</v>
      </c>
    </row>
    <row r="11">
      <c r="A11" s="60" t="inlineStr">
        <is>
          <t>2026-04-20</t>
        </is>
      </c>
      <c r="B11" s="60" t="n">
        <v>1780.5</v>
      </c>
      <c r="C11" s="60" t="n">
        <v>0</v>
      </c>
      <c r="D11" s="60" t="n">
        <v>34.34</v>
      </c>
      <c r="E11" s="60" t="n">
        <v>103.01</v>
      </c>
      <c r="F11" s="60" t="n">
        <v>1917.85</v>
      </c>
      <c r="G11" s="60" t="inlineStr">
        <is>
          <t>61.8%</t>
        </is>
      </c>
      <c r="H11" s="60" t="n">
        <v>65</v>
      </c>
      <c r="I11" s="60" t="n">
        <v>27.39</v>
      </c>
    </row>
    <row r="13" ht="36" customHeight="1" s="33">
      <c r="A13" s="57" t="inlineStr">
        <is>
          <t>⚠  No product names — daily revenue totals only. Use alongside Best Selling Products export for a complete monthly picture.</t>
        </is>
      </c>
    </row>
  </sheetData>
  <mergeCells count="4">
    <mergeCell ref="A1:I1"/>
    <mergeCell ref="A3:I3"/>
    <mergeCell ref="A13:I13"/>
    <mergeCell ref="A2:I2"/>
  </mergeCells>
  <pageMargins left="0.75" right="0.75" top="1" bottom="1" header="0.5" footer="0.5"/>
</worksheet>
</file>

<file path=xl/worksheets/sheet10.xml><?xml version="1.0" encoding="utf-8"?>
<worksheet xmlns="http://schemas.openxmlformats.org/spreadsheetml/2006/main">
  <sheetPr filterMode="0">
    <outlinePr summaryBelow="1" summaryRight="1"/>
    <pageSetUpPr fitToPage="0"/>
  </sheetPr>
  <dimension ref="A1:E25"/>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baseColWidth="8" defaultColWidth="8.6796875" defaultRowHeight="15" zeroHeight="0" outlineLevelRow="0"/>
  <cols>
    <col width="24" customWidth="1" style="32" min="1" max="1"/>
    <col width="42" customWidth="1" style="32" min="2" max="2"/>
    <col width="28" customWidth="1" style="32" min="3" max="3"/>
    <col width="26" customWidth="1" style="32" min="4" max="4"/>
    <col width="45" customWidth="1" style="32" min="5" max="5"/>
  </cols>
  <sheetData>
    <row r="1" ht="17.35" customHeight="1" s="33">
      <c r="A1" s="34" t="inlineStr">
        <is>
          <t>Field Comparison Across POS Systems</t>
        </is>
      </c>
    </row>
    <row r="2" ht="15" customHeight="1" s="33">
      <c r="A2" s="35" t="inlineStr">
        <is>
          <t>Same business concept, different field names. Use this when consolidating data from multiple systems.</t>
        </is>
      </c>
    </row>
    <row r="5" ht="31.5" customHeight="1" s="33">
      <c r="A5" s="43" t="inlineStr">
        <is>
          <t>Concept</t>
        </is>
      </c>
      <c r="B5" s="43" t="inlineStr">
        <is>
          <t>Square (verified)</t>
        </is>
      </c>
      <c r="C5" s="43" t="inlineStr">
        <is>
          <t>Loyverse (inferred)</t>
        </is>
      </c>
      <c r="D5" s="43" t="inlineStr">
        <is>
          <t>StoreHub (inferred)</t>
        </is>
      </c>
      <c r="E5" s="43" t="inlineStr">
        <is>
          <t>Definition</t>
        </is>
      </c>
    </row>
    <row r="6" ht="31.5" customHeight="1" s="33">
      <c r="A6" s="61" t="inlineStr">
        <is>
          <t>Receipt identifier</t>
        </is>
      </c>
      <c r="B6" s="62" t="inlineStr">
        <is>
          <t>Transaction ID + Payment ID</t>
        </is>
      </c>
      <c r="C6" s="62" t="inlineStr">
        <is>
          <t>Receipt number</t>
        </is>
      </c>
      <c r="D6" s="62" t="inlineStr">
        <is>
          <t>Receipt No.</t>
        </is>
      </c>
      <c r="E6" s="62" t="inlineStr">
        <is>
          <t>Unique ID for each sale.</t>
        </is>
      </c>
    </row>
    <row r="7" ht="31.5" customHeight="1" s="33">
      <c r="A7" s="63" t="inlineStr">
        <is>
          <t>Sale before deductions</t>
        </is>
      </c>
      <c r="B7" s="64" t="inlineStr">
        <is>
          <t>Gross Sales</t>
        </is>
      </c>
      <c r="C7" s="64" t="inlineStr">
        <is>
          <t>Gross sales</t>
        </is>
      </c>
      <c r="D7" s="64" t="inlineStr">
        <is>
          <t>Subtotal</t>
        </is>
      </c>
      <c r="E7" s="64" t="inlineStr">
        <is>
          <t>Item price × quantity, before discounts/refunds.</t>
        </is>
      </c>
    </row>
    <row r="8" ht="31.5" customHeight="1" s="33">
      <c r="A8" s="61" t="inlineStr">
        <is>
          <t>Discounts</t>
        </is>
      </c>
      <c r="B8" s="62" t="inlineStr">
        <is>
          <t>Discounts (+ Discount Name)</t>
        </is>
      </c>
      <c r="C8" s="62" t="inlineStr">
        <is>
          <t>Discounts</t>
        </is>
      </c>
      <c r="D8" s="62" t="inlineStr">
        <is>
          <t>Discount</t>
        </is>
      </c>
      <c r="E8" s="62" t="inlineStr">
        <is>
          <t>Promotions or manual reductions.</t>
        </is>
      </c>
    </row>
    <row r="9" ht="31.5" customHeight="1" s="33">
      <c r="A9" s="63" t="inlineStr">
        <is>
          <t>Refunds</t>
        </is>
      </c>
      <c r="B9" s="64" t="inlineStr">
        <is>
          <t>Partial Refunds + Event Type=Refund</t>
        </is>
      </c>
      <c r="C9" s="64" t="inlineStr">
        <is>
          <t>Receipt type=Refund</t>
        </is>
      </c>
      <c r="D9" s="64" t="inlineStr">
        <is>
          <t>Status=Refunded</t>
        </is>
      </c>
      <c r="E9" s="64" t="inlineStr">
        <is>
          <t>Money returned to customer.</t>
        </is>
      </c>
    </row>
    <row r="10" ht="31.5" customHeight="1" s="33">
      <c r="A10" s="61" t="inlineStr">
        <is>
          <t>Sale after deductions</t>
        </is>
      </c>
      <c r="B10" s="62" t="inlineStr">
        <is>
          <t>Net Sales</t>
        </is>
      </c>
      <c r="C10" s="62" t="inlineStr">
        <is>
          <t>Net sales</t>
        </is>
      </c>
      <c r="D10" s="62" t="inlineStr">
        <is>
          <t>Net Sales</t>
        </is>
      </c>
      <c r="E10" s="62" t="inlineStr">
        <is>
          <t>Gross − Discounts − Refunds.</t>
        </is>
      </c>
    </row>
    <row r="11" ht="31.5" customHeight="1" s="33">
      <c r="A11" s="63" t="inlineStr">
        <is>
          <t>Tax</t>
        </is>
      </c>
      <c r="B11" s="64" t="inlineStr">
        <is>
          <t>Tax</t>
        </is>
      </c>
      <c r="C11" s="64" t="inlineStr">
        <is>
          <t>Taxes</t>
        </is>
      </c>
      <c r="D11" s="64" t="inlineStr">
        <is>
          <t>SST (6% in MY)</t>
        </is>
      </c>
      <c r="E11" s="64" t="inlineStr">
        <is>
          <t>Government tax collected.</t>
        </is>
      </c>
    </row>
    <row r="12" ht="31.5" customHeight="1" s="33">
      <c r="A12" s="61" t="inlineStr">
        <is>
          <t>Service charge</t>
        </is>
      </c>
      <c r="B12" s="62" t="inlineStr">
        <is>
          <t>Service Charges</t>
        </is>
      </c>
      <c r="C12" s="62" t="inlineStr">
        <is>
          <t>Tracked as a tax/fee item</t>
        </is>
      </c>
      <c r="D12" s="62" t="inlineStr">
        <is>
          <t>Service Charge</t>
        </is>
      </c>
      <c r="E12" s="62" t="inlineStr">
        <is>
          <t>Restaurant service fee.</t>
        </is>
      </c>
    </row>
    <row r="13" ht="31.5" customHeight="1" s="33">
      <c r="A13" s="63" t="inlineStr">
        <is>
          <t>Tip / gratuity</t>
        </is>
      </c>
      <c r="B13" s="64" t="inlineStr">
        <is>
          <t>Tip + Unattributed Tips</t>
        </is>
      </c>
      <c r="C13" s="64" t="inlineStr">
        <is>
          <t>Tips</t>
        </is>
      </c>
      <c r="D13" s="64" t="inlineStr">
        <is>
          <t>Not standard</t>
        </is>
      </c>
      <c r="E13" s="64" t="inlineStr">
        <is>
          <t>Voluntary amount added by customer.</t>
        </is>
      </c>
    </row>
    <row r="14" ht="31.5" customHeight="1" s="33">
      <c r="A14" s="61" t="inlineStr">
        <is>
          <t>Final amount paid</t>
        </is>
      </c>
      <c r="B14" s="62" t="inlineStr">
        <is>
          <t>Total Collected</t>
        </is>
      </c>
      <c r="C14" s="62" t="inlineStr">
        <is>
          <t>Total</t>
        </is>
      </c>
      <c r="D14" s="62" t="inlineStr">
        <is>
          <t>Total</t>
        </is>
      </c>
      <c r="E14" s="62" t="inlineStr">
        <is>
          <t>What the customer actually paid.</t>
        </is>
      </c>
    </row>
    <row r="15" ht="31.5" customHeight="1" s="33">
      <c r="A15" s="63" t="inlineStr">
        <is>
          <t>Cost of goods</t>
        </is>
      </c>
      <c r="B15" s="64" t="inlineStr">
        <is>
          <t>Not in Transactions; calculated externally</t>
        </is>
      </c>
      <c r="C15" s="64" t="inlineStr">
        <is>
          <t>Cost of goods</t>
        </is>
      </c>
      <c r="D15" s="64" t="inlineStr">
        <is>
          <t>Cost</t>
        </is>
      </c>
      <c r="E15" s="64" t="inlineStr">
        <is>
          <t>Inventory cost of items sold.</t>
        </is>
      </c>
    </row>
    <row r="16" ht="31.5" customHeight="1" s="33">
      <c r="A16" s="61" t="inlineStr">
        <is>
          <t>Gross profit</t>
        </is>
      </c>
      <c r="B16" s="62" t="inlineStr">
        <is>
          <t>Calculated externally</t>
        </is>
      </c>
      <c r="C16" s="62" t="inlineStr">
        <is>
          <t>Gross profit</t>
        </is>
      </c>
      <c r="D16" s="62" t="inlineStr">
        <is>
          <t>Gross Profit</t>
        </is>
      </c>
      <c r="E16" s="62" t="inlineStr">
        <is>
          <t>Net Sales − Cost of Goods.</t>
        </is>
      </c>
    </row>
    <row r="17" ht="31.5" customHeight="1" s="33">
      <c r="A17" s="63" t="inlineStr">
        <is>
          <t>Payment method</t>
        </is>
      </c>
      <c r="B17" s="64" t="inlineStr">
        <is>
          <t>Card / Cash / Other Tender + Card Brand</t>
        </is>
      </c>
      <c r="C17" s="64" t="inlineStr">
        <is>
          <t>Payment type</t>
        </is>
      </c>
      <c r="D17" s="64" t="inlineStr">
        <is>
          <t>Payment Method</t>
        </is>
      </c>
      <c r="E17" s="64" t="inlineStr">
        <is>
          <t>How customer paid.</t>
        </is>
      </c>
    </row>
    <row r="18" ht="31.5" customHeight="1" s="33">
      <c r="A18" s="61" t="inlineStr">
        <is>
          <t>Cashier / staff</t>
        </is>
      </c>
      <c r="B18" s="62" t="inlineStr">
        <is>
          <t>Staff Name + Staff ID + Employee</t>
        </is>
      </c>
      <c r="C18" s="62" t="inlineStr">
        <is>
          <t>Cashier name</t>
        </is>
      </c>
      <c r="D18" s="62" t="inlineStr">
        <is>
          <t>Cashier</t>
        </is>
      </c>
      <c r="E18" s="62" t="inlineStr">
        <is>
          <t>Employee who processed the sale.</t>
        </is>
      </c>
    </row>
    <row r="19" ht="31.5" customHeight="1" s="33">
      <c r="A19" s="63" t="inlineStr">
        <is>
          <t>Customer</t>
        </is>
      </c>
      <c r="B19" s="64" t="inlineStr">
        <is>
          <t>Customer ID + Customer Name + Customer Reference ID</t>
        </is>
      </c>
      <c r="C19" s="64" t="inlineStr">
        <is>
          <t>Customer</t>
        </is>
      </c>
      <c r="D19" s="64" t="inlineStr">
        <is>
          <t>Customer</t>
        </is>
      </c>
      <c r="E19" s="64" t="inlineStr">
        <is>
          <t>Linked customer record.</t>
        </is>
      </c>
    </row>
    <row r="20" ht="31.5" customHeight="1" s="33">
      <c r="A20" s="61" t="inlineStr">
        <is>
          <t>Outlet</t>
        </is>
      </c>
      <c r="B20" s="62" t="inlineStr">
        <is>
          <t>Location</t>
        </is>
      </c>
      <c r="C20" s="62" t="inlineStr">
        <is>
          <t>Store</t>
        </is>
      </c>
      <c r="D20" s="62" t="inlineStr">
        <is>
          <t>Store / Outlet</t>
        </is>
      </c>
      <c r="E20" s="62" t="inlineStr">
        <is>
          <t>Physical store branch.</t>
        </is>
      </c>
    </row>
    <row r="21" ht="31.5" customHeight="1" s="33">
      <c r="A21" s="63" t="inlineStr">
        <is>
          <t>Device</t>
        </is>
      </c>
      <c r="B21" s="64" t="inlineStr">
        <is>
          <t>Device Name + Device Nickname</t>
        </is>
      </c>
      <c r="C21" s="64" t="inlineStr">
        <is>
          <t>POS</t>
        </is>
      </c>
      <c r="D21" s="64" t="inlineStr">
        <is>
          <t>Captured at outlet level</t>
        </is>
      </c>
      <c r="E21" s="64" t="inlineStr">
        <is>
          <t>Which register processed the sale.</t>
        </is>
      </c>
    </row>
    <row r="22" ht="31.5" customHeight="1" s="33">
      <c r="A22" s="61" t="inlineStr">
        <is>
          <t>Item-level detail</t>
        </is>
      </c>
      <c r="B22" s="62" t="inlineStr">
        <is>
          <t>Items CSV (separate export)</t>
        </is>
      </c>
      <c r="C22" s="62" t="inlineStr">
        <is>
          <t>Receipts by Item export</t>
        </is>
      </c>
      <c r="D22" s="62" t="inlineStr">
        <is>
          <t>Within transaction (Items column)</t>
        </is>
      </c>
      <c r="E22" s="62" t="inlineStr">
        <is>
          <t>Per-line-item data.</t>
        </is>
      </c>
    </row>
    <row r="23" ht="31.5" customHeight="1" s="33">
      <c r="A23" s="63" t="inlineStr">
        <is>
          <t>Daily summary</t>
        </is>
      </c>
      <c r="B23" s="64" t="inlineStr">
        <is>
          <t>Sales Summary report</t>
        </is>
      </c>
      <c r="C23" s="64" t="inlineStr">
        <is>
          <t>Sales Summary report</t>
        </is>
      </c>
      <c r="D23" s="64" t="inlineStr">
        <is>
          <t>Sales Over Time report</t>
        </is>
      </c>
      <c r="E23" s="64" t="inlineStr">
        <is>
          <t>Per-day rollup.</t>
        </is>
      </c>
    </row>
    <row r="24" ht="31.5" customHeight="1" s="33">
      <c r="A24" s="61" t="inlineStr">
        <is>
          <t>Processing fees</t>
        </is>
      </c>
      <c r="B24" s="62" t="inlineStr">
        <is>
          <t>Fees + Third Party Fees + Fee Percentage Rate + Fee Fixed Rate</t>
        </is>
      </c>
      <c r="C24" s="62" t="inlineStr">
        <is>
          <t>Tracked outside POS</t>
        </is>
      </c>
      <c r="D24" s="62" t="inlineStr">
        <is>
          <t>Tracked outside POS</t>
        </is>
      </c>
      <c r="E24" s="62" t="inlineStr">
        <is>
          <t>Payment processor charges.</t>
        </is>
      </c>
    </row>
    <row r="25" ht="31.5" customHeight="1" s="33">
      <c r="A25" s="63" t="inlineStr">
        <is>
          <t>Bank deposit linkage</t>
        </is>
      </c>
      <c r="B25" s="64" t="inlineStr">
        <is>
          <t>Deposit ID + Deposit Date + Deposit Details</t>
        </is>
      </c>
      <c r="C25" s="64" t="inlineStr">
        <is>
          <t>Not in CSV</t>
        </is>
      </c>
      <c r="D25" s="64" t="inlineStr">
        <is>
          <t>Not in CSV</t>
        </is>
      </c>
      <c r="E25" s="64" t="inlineStr">
        <is>
          <t>Square uniquely links each sale to the bank deposit.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C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2" min="1" max="1"/>
    <col width="18" customWidth="1" style="32" min="2" max="2"/>
    <col width="80" customWidth="1" style="32" min="3" max="3"/>
  </cols>
  <sheetData>
    <row r="1" ht="17.35" customHeight="1" s="33">
      <c r="A1" s="34" t="inlineStr">
        <is>
          <t>Sources &amp; Verification</t>
        </is>
      </c>
    </row>
    <row r="2" ht="15" customHeight="1" s="33">
      <c r="A2" s="35" t="inlineStr">
        <is>
          <t>Where every piece of information in this workbook came from, and what is/is not verified.</t>
        </is>
      </c>
    </row>
    <row r="5" ht="27.75" customHeight="1" s="33">
      <c r="A5" s="43" t="inlineStr">
        <is>
          <t>POS System / Sheet</t>
        </is>
      </c>
      <c r="B5" s="43" t="inlineStr">
        <is>
          <t>Status</t>
        </is>
      </c>
      <c r="C5" s="43" t="inlineStr">
        <is>
          <t>Source &amp; notes</t>
        </is>
      </c>
    </row>
    <row r="6" ht="79.5" customHeight="1" s="33">
      <c r="A6" s="65" t="inlineStr">
        <is>
          <t>Square — Transactions CSV (53 cols)</t>
        </is>
      </c>
      <c r="B6" s="66" t="inlineStr">
        <is>
          <t>VERIFIED</t>
        </is>
      </c>
      <c r="C6" s="62" t="inlineStr">
        <is>
          <t>Full column list posted by user "Candlestore" (a Square Champion / community moderator), Square Community thread "Be warned: Order Export is not accurate", April 7, 2025. The user explicitly stated they had "just downloaded all 3" CSVs and pasted the actual header row. URL: community.squareup.com/t5/Payments-Troubleshooting/Be-warned-Order-Export-is-not-accurate-refunded-items-still/m-p/789141</t>
        </is>
      </c>
    </row>
    <row r="7" ht="79.5" customHeight="1" s="33">
      <c r="A7" s="65" t="inlineStr">
        <is>
          <t>Square — Items CSV (33 cols)</t>
        </is>
      </c>
      <c r="B7" s="66" t="inlineStr">
        <is>
          <t>VERIFIED</t>
        </is>
      </c>
      <c r="C7" s="62" t="inlineStr">
        <is>
          <t>Same source as above. Posted in the same response with the actual header row from the user's downloaded Items detail CSV.</t>
        </is>
      </c>
    </row>
    <row r="8" ht="79.5" customHeight="1" s="33">
      <c r="A8" s="65" t="inlineStr">
        <is>
          <t>Square — Summary CSV (15 cols)</t>
        </is>
      </c>
      <c r="B8" s="66" t="inlineStr">
        <is>
          <t>VERIFIED</t>
        </is>
      </c>
      <c r="C8" s="62" t="inlineStr">
        <is>
          <t>Same source as above. The 15 headers match what Square Champion posted from their actual Summary CSV download.</t>
        </is>
      </c>
    </row>
    <row r="9" ht="79.5" customHeight="1" s="33">
      <c r="A9" s="65" t="inlineStr">
        <is>
          <t>Square field definitions</t>
        </is>
      </c>
      <c r="B9" s="67" t="inlineStr">
        <is>
          <t>OFFICIAL</t>
        </is>
      </c>
      <c r="C9" s="62" t="inlineStr">
        <is>
          <t>Official Square help articles — "View sales summary, sales trends and payment methods reports" (squareup.com/help/us/en/article/5381). Confirms what each field means (Gross sales, Net sales, Tip, Fees, etc.).</t>
        </is>
      </c>
    </row>
    <row r="10" ht="79.5" customHeight="1" s="33">
      <c r="A10" s="65" t="inlineStr">
        <is>
          <t>Loyverse — Receipts export</t>
        </is>
      </c>
      <c r="B10" s="68" t="inlineStr">
        <is>
          <t>INFERRED</t>
        </is>
      </c>
      <c r="C10" s="62" t="inlineStr">
        <is>
          <t>Loyverse official docs (help.loyverse.com/help/receipts-section-reports-back) confirm the export exists and describe what it contains in prose ("items sold, taxes, discounts, payment method, POS device, employee, and customer"), but do not publish the literal CSV header row. Header strings used here are reasonable approximations of the documented fields.</t>
        </is>
      </c>
    </row>
    <row r="11" ht="79.5" customHeight="1" s="33">
      <c r="A11" s="65" t="inlineStr">
        <is>
          <t>Loyverse — Receipts by Item</t>
        </is>
      </c>
      <c r="B11" s="68" t="inlineStr">
        <is>
          <t>INFERRED</t>
        </is>
      </c>
      <c r="C11" s="62" t="inlineStr">
        <is>
          <t>Loyverse docs (help.loyverse.com — Receipts section, Sales by Item report) confirm field concepts (SKU, Item, Variant, Modifier, Quantity, Price, Discount, Net amount, Tax, Cost, Gross profit). Exact CSV headers/order not verified against an actual export.</t>
        </is>
      </c>
    </row>
    <row r="12" ht="79.5" customHeight="1" s="33">
      <c r="A12" s="65" t="inlineStr">
        <is>
          <t>Loyverse — Sales Summary</t>
        </is>
      </c>
      <c r="B12" s="69" t="inlineStr">
        <is>
          <t>PARTIALLY VERIFIED</t>
        </is>
      </c>
      <c r="C12" s="62" t="inlineStr">
        <is>
          <t>Field NAMES match Loyverse Sales Summary report documentation precisely (help.loyverse.com/help/sales-summary-report-back-office): Gross sales, Refunds, Discounts, Net sales, Cost of goods, Gross profit, Margin, Taxes, Tips. The CSV export of this report should produce these exact column names, but I have not seen an actual exported file to confirm exact spelling/capitalization.</t>
        </is>
      </c>
    </row>
    <row r="13" ht="79.5" customHeight="1" s="33">
      <c r="A13" s="65" t="inlineStr">
        <is>
          <t>StoreHub — All Transactions</t>
        </is>
      </c>
      <c r="B13" s="68" t="inlineStr">
        <is>
          <t>INFERRED</t>
        </is>
      </c>
      <c r="C13" s="62" t="inlineStr">
        <is>
          <t>StoreHub docs (care.storehub.com — "Transactions: All Transactions" and "How to Perform Transactions on POS") confirm export exists with fields like time, receipt number, amount, payment method, items sold, quantities, discounts, tax, employee, status. Exact CSV column headers and order are NOT published. SST 6% is the Malaysia rate.</t>
        </is>
      </c>
    </row>
    <row r="14" ht="79.5" customHeight="1" s="33">
      <c r="A14" s="65" t="inlineStr">
        <is>
          <t>StoreHub — Sales Over Time</t>
        </is>
      </c>
      <c r="B14" s="68" t="inlineStr">
        <is>
          <t>INFERRED</t>
        </is>
      </c>
      <c r="C14" s="62" t="inlineStr">
        <is>
          <t>StoreHub docs (care.storehub.com/en/articles/5726816 — "How to Understand Your StoreHub Sales Reports") confirm this report exists and combines POS + Beep Delivery + QR Order &amp; Pay sales, with Gross Profit (GP%) tracked. Exact column names not published.</t>
        </is>
      </c>
    </row>
    <row r="15" ht="79.5" customHeight="1" s="33">
      <c r="A15" s="65" t="inlineStr">
        <is>
          <t>Sample data (all sheets)</t>
        </is>
      </c>
      <c r="B15" s="70" t="inlineStr">
        <is>
          <t>ILLUSTRATIVE</t>
        </is>
      </c>
      <c r="C15" s="62" t="inlineStr">
        <is>
          <t>Transactions, customer names, staff names, and SKUs are fabricated for illustration. Currency is RM (Malaysian Ringgit) since user is based in Selangor, Malaysia.</t>
        </is>
      </c>
    </row>
    <row r="16" ht="79.5" customHeight="1" s="33">
      <c r="A16" s="65" t="inlineStr">
        <is>
          <t>SST 6% rate (StoreHub sheets)</t>
        </is>
      </c>
      <c r="B16" s="67" t="inlineStr">
        <is>
          <t>OFFICIAL</t>
        </is>
      </c>
      <c r="C16" s="62" t="inlineStr">
        <is>
          <t>Malaysia Sales &amp; Service Tax standard rate of 6% on services. Verified against Royal Malaysian Customs Department published rates (current at time of writing).</t>
        </is>
      </c>
    </row>
    <row r="19" ht="15" customHeight="1" s="33">
      <c r="A19" s="36" t="inlineStr">
        <is>
          <t>Recommended next step</t>
        </is>
      </c>
    </row>
    <row r="20" ht="15" customHeight="1" s="33">
      <c r="A20" s="32" t="inlineStr">
        <is>
          <t>Before using these templates for any automated process (accounting import, integration, dashboard):</t>
        </is>
      </c>
    </row>
    <row r="21" ht="15" customHeight="1" s="33">
      <c r="A21" s="32" t="inlineStr">
        <is>
          <t>1. Do one real export from each POS system you actually use.</t>
        </is>
      </c>
    </row>
    <row r="22" ht="15" customHeight="1" s="33">
      <c r="A22" s="32" t="inlineStr">
        <is>
          <t>2. Compare the real header row against the corresponding "INFERRED" sheet here.</t>
        </is>
      </c>
    </row>
    <row r="23" ht="15" customHeight="1" s="33">
      <c r="A23" s="32" t="inlineStr">
        <is>
          <t>3. Replace the header row with the actual headers if they differ.</t>
        </is>
      </c>
    </row>
    <row r="24" ht="15" customHeight="1" s="33">
      <c r="A24" s="32" t="inlineStr">
        <is>
          <t>The Square sheets should match an actual export already; Loyverse and StoreHub may need minor tweaks.</t>
        </is>
      </c>
    </row>
    <row r="26">
      <c r="A26" t="inlineStr">
        <is>
          <t>StoreHub — Best Sellers (new)</t>
        </is>
      </c>
      <c r="B26" t="inlineStr">
        <is>
          <t>PARTIALLY VERIFIED</t>
        </is>
      </c>
      <c r="C26" t="inlineStr">
        <is>
          <t>Field names confirmed via StoreHub official blog "7 Insightful StoreHub Reports" (storehub.com/my/blog/storehub-reports/). Product Name &amp; Category inferred. Exact CSV header strings from a real export NOT verified.</t>
        </is>
      </c>
    </row>
    <row r="27">
      <c r="A27" t="inlineStr">
        <is>
          <t>StoreHub — Daily Sales (new)</t>
        </is>
      </c>
      <c r="B27" t="inlineStr">
        <is>
          <t>PARTIALLY VERIFIED</t>
        </is>
      </c>
      <c r="C27" t="inlineStr">
        <is>
          <t>Same blog source. Date column inferred. Exact headers NOT verified.</t>
        </is>
      </c>
    </row>
    <row r="28">
      <c r="A28" t="inlineStr">
        <is>
          <t>StoreHub — All Transactions (REMOVED)</t>
        </is>
      </c>
      <c r="B28" t="inlineStr">
        <is>
          <t>REMOVED — INACCURATE</t>
        </is>
      </c>
      <c r="C28" t="inlineStr">
        <is>
          <t>Items column was a comma-separated string — unusable for item-level analysis. Replaced with Best Sellers + Daily Sales sheets.</t>
        </is>
      </c>
    </row>
    <row r="29">
      <c r="A29" t="inlineStr">
        <is>
          <t>StoreHub — Sales Over Time (REMOVED)</t>
        </is>
      </c>
      <c r="B29" t="inlineStr">
        <is>
          <t>REMOVED</t>
        </is>
      </c>
      <c r="C29" t="inlineStr">
        <is>
          <t>Replaced by Daily Sales sheet with confirmed field names.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2026-04-25T05:08:27Z</dcterms:created>
  <dcterms:modified xsi:type="dcterms:W3CDTF">2026-04-25T08:31:35Z</dcterms:modified>
  <cp:revision>0</cp:revision>
</cp:coreProperties>
</file>